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updateLinks="never" defaultThemeVersion="166925"/>
  <mc:AlternateContent xmlns:mc="http://schemas.openxmlformats.org/markup-compatibility/2006">
    <mc:Choice Requires="x15">
      <x15ac:absPath xmlns:x15ac="http://schemas.microsoft.com/office/spreadsheetml/2010/11/ac" url="/Users/eshantandon/Desktop/"/>
    </mc:Choice>
  </mc:AlternateContent>
  <xr:revisionPtr revIDLastSave="0" documentId="13_ncr:1_{55C90EFA-313B-9044-8891-4E62BABD7D22}" xr6:coauthVersionLast="47" xr6:coauthVersionMax="47" xr10:uidLastSave="{00000000-0000-0000-0000-000000000000}"/>
  <bookViews>
    <workbookView xWindow="0" yWindow="600" windowWidth="28800" windowHeight="16240" activeTab="7" xr2:uid="{00000000-000D-0000-FFFF-FFFF00000000}"/>
  </bookViews>
  <sheets>
    <sheet name=" P&amp;L" sheetId="2" r:id="rId1"/>
    <sheet name="BALANCE SHEET" sheetId="3" r:id="rId2"/>
    <sheet name="CASH FLOW " sheetId="4" r:id="rId3"/>
    <sheet name="RATIOS " sheetId="5" r:id="rId4"/>
    <sheet name="Ratio Dupont " sheetId="6" r:id="rId5"/>
    <sheet name="Company Comparison" sheetId="10" r:id="rId6"/>
    <sheet name="Investor Comparison" sheetId="11" r:id="rId7"/>
    <sheet name="Dashboard" sheetId="12" r:id="rId8"/>
  </sheets>
  <externalReferences>
    <externalReference r:id="rId9"/>
    <externalReference r:id="rId10"/>
  </externalReferenc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2" l="1"/>
  <c r="D6" i="12"/>
  <c r="E6" i="12"/>
  <c r="C12" i="12"/>
  <c r="D12" i="12"/>
  <c r="E12" i="12"/>
  <c r="C13" i="12"/>
  <c r="D13" i="12"/>
  <c r="E13" i="12"/>
  <c r="C14" i="12"/>
  <c r="D14" i="12"/>
  <c r="E14" i="12"/>
  <c r="C15" i="12"/>
  <c r="D15" i="12"/>
  <c r="E15" i="12"/>
  <c r="C16" i="12"/>
  <c r="D16" i="12"/>
  <c r="E16" i="12"/>
  <c r="C17" i="12"/>
  <c r="D17" i="12"/>
  <c r="E17" i="12"/>
  <c r="C18" i="12"/>
  <c r="D18" i="12"/>
  <c r="E18" i="12"/>
  <c r="C19" i="12"/>
  <c r="D19" i="12"/>
  <c r="E19" i="12"/>
  <c r="C20" i="12"/>
  <c r="D20" i="12"/>
  <c r="E20" i="12"/>
  <c r="C24" i="12"/>
  <c r="D24" i="12"/>
  <c r="E24" i="12"/>
  <c r="C25" i="12"/>
  <c r="D25" i="12"/>
  <c r="E25" i="12"/>
  <c r="C26" i="12"/>
  <c r="D26" i="12"/>
  <c r="E26" i="12"/>
  <c r="C31" i="12"/>
  <c r="D31" i="12"/>
  <c r="E31" i="12"/>
  <c r="F31" i="12"/>
  <c r="G31" i="12"/>
  <c r="H31" i="12"/>
  <c r="I31" i="12"/>
  <c r="C32" i="12"/>
  <c r="D32" i="12"/>
  <c r="E32" i="12"/>
  <c r="F32" i="12"/>
  <c r="G32" i="12"/>
  <c r="H32" i="12"/>
  <c r="I32" i="12"/>
  <c r="C33" i="12"/>
  <c r="D33" i="12"/>
  <c r="E33" i="12"/>
  <c r="F33" i="12"/>
  <c r="G33" i="12"/>
  <c r="H33" i="12"/>
  <c r="I33" i="12"/>
  <c r="C56" i="12"/>
  <c r="D56" i="12"/>
  <c r="E56" i="12"/>
  <c r="F56" i="12"/>
  <c r="G56" i="12"/>
  <c r="H56" i="12"/>
  <c r="I56" i="12"/>
  <c r="C57" i="12"/>
  <c r="D57" i="12"/>
  <c r="E57" i="12"/>
  <c r="F57" i="12"/>
  <c r="G57" i="12"/>
  <c r="H57" i="12"/>
  <c r="I57" i="12"/>
  <c r="C58" i="12"/>
  <c r="D58" i="12"/>
  <c r="E58" i="12"/>
  <c r="F58" i="12"/>
  <c r="G58" i="12"/>
  <c r="H58" i="12"/>
  <c r="I58" i="12"/>
  <c r="C70" i="12"/>
  <c r="E21" i="12"/>
  <c r="H53" i="12"/>
  <c r="G53" i="12"/>
  <c r="F53" i="12"/>
  <c r="E53" i="12"/>
  <c r="D53" i="12"/>
  <c r="C53" i="12"/>
  <c r="D21" i="12"/>
  <c r="H52" i="12"/>
  <c r="G52" i="12"/>
  <c r="F52" i="12"/>
  <c r="E52" i="12"/>
  <c r="D52" i="12"/>
  <c r="C52" i="12"/>
  <c r="I51" i="12"/>
  <c r="H51" i="12"/>
  <c r="G51" i="12"/>
  <c r="F51" i="12"/>
  <c r="E51" i="12"/>
  <c r="D51" i="12"/>
  <c r="C51" i="12"/>
  <c r="I38" i="12"/>
  <c r="H37" i="12"/>
  <c r="D37" i="12"/>
  <c r="C36" i="12"/>
  <c r="E7" i="12"/>
  <c r="D7" i="12"/>
  <c r="C7" i="12"/>
  <c r="D8" i="11"/>
  <c r="E8" i="11"/>
  <c r="F8" i="11"/>
  <c r="D14" i="11"/>
  <c r="F15" i="11"/>
  <c r="B27" i="11"/>
  <c r="B33" i="10"/>
  <c r="E33" i="10" s="1"/>
  <c r="C33" i="10"/>
  <c r="F33" i="10" s="1"/>
  <c r="D33" i="10"/>
  <c r="G33" i="10" s="1"/>
  <c r="H33" i="10"/>
  <c r="I33" i="10"/>
  <c r="J33" i="10"/>
  <c r="B34" i="10"/>
  <c r="E34" i="10" s="1"/>
  <c r="C34" i="10"/>
  <c r="F34" i="10" s="1"/>
  <c r="D34" i="10"/>
  <c r="G34" i="10" s="1"/>
  <c r="H34" i="10"/>
  <c r="I34" i="10"/>
  <c r="J34" i="10"/>
  <c r="B35" i="10"/>
  <c r="E35" i="10" s="1"/>
  <c r="C35" i="10"/>
  <c r="F35" i="10" s="1"/>
  <c r="D35" i="10"/>
  <c r="G35" i="10" s="1"/>
  <c r="H35" i="10"/>
  <c r="I35" i="10"/>
  <c r="J35" i="10"/>
  <c r="B36" i="10"/>
  <c r="E36" i="10" s="1"/>
  <c r="C36" i="10"/>
  <c r="F36" i="10" s="1"/>
  <c r="D36" i="10"/>
  <c r="G36" i="10" s="1"/>
  <c r="H36" i="10"/>
  <c r="I36" i="10"/>
  <c r="J36" i="10"/>
  <c r="B37" i="10"/>
  <c r="E37" i="10" s="1"/>
  <c r="C37" i="10"/>
  <c r="F37" i="10" s="1"/>
  <c r="D37" i="10"/>
  <c r="G37" i="10" s="1"/>
  <c r="H37" i="10"/>
  <c r="B45" i="10" s="1"/>
  <c r="I37" i="10"/>
  <c r="C45" i="10" s="1"/>
  <c r="J37" i="10"/>
  <c r="D45" i="10" s="1"/>
  <c r="B38" i="10"/>
  <c r="E38" i="10" s="1"/>
  <c r="C38" i="10"/>
  <c r="F38" i="10" s="1"/>
  <c r="D38" i="10"/>
  <c r="G38" i="10" s="1"/>
  <c r="H38" i="10"/>
  <c r="B46" i="10" s="1"/>
  <c r="I38" i="10"/>
  <c r="C46" i="10" s="1"/>
  <c r="J38" i="10"/>
  <c r="D46" i="10" s="1"/>
  <c r="M40" i="10"/>
  <c r="M41" i="10"/>
  <c r="M42" i="10"/>
  <c r="B43" i="10"/>
  <c r="C43" i="10"/>
  <c r="D43" i="10"/>
  <c r="B44" i="10"/>
  <c r="C44" i="10"/>
  <c r="D44" i="10"/>
  <c r="D11" i="4"/>
  <c r="C47" i="5"/>
  <c r="F12" i="12" l="1"/>
  <c r="F67" i="12"/>
  <c r="F6" i="12"/>
  <c r="F18" i="12"/>
  <c r="F26" i="12"/>
  <c r="F15" i="12"/>
  <c r="F17" i="12"/>
  <c r="F25" i="12"/>
  <c r="E63" i="12"/>
  <c r="F24" i="12"/>
  <c r="E67" i="12"/>
  <c r="D63" i="12"/>
  <c r="F7" i="12"/>
  <c r="F63" i="12"/>
  <c r="I53" i="12"/>
  <c r="C21" i="12"/>
  <c r="E9" i="12"/>
  <c r="E38" i="12"/>
  <c r="E8" i="12"/>
  <c r="D67" i="12"/>
  <c r="D8" i="12"/>
  <c r="I52" i="12"/>
  <c r="C8" i="12"/>
  <c r="G37" i="12"/>
  <c r="F38" i="12"/>
  <c r="H38" i="12"/>
  <c r="H36" i="12"/>
  <c r="D36" i="12"/>
  <c r="E36" i="12"/>
  <c r="E37" i="12"/>
  <c r="F36" i="12"/>
  <c r="G36" i="12"/>
  <c r="C38" i="12"/>
  <c r="G38" i="12"/>
  <c r="D38" i="12"/>
  <c r="C37" i="12"/>
  <c r="F37" i="12"/>
  <c r="I22" i="2"/>
  <c r="H22" i="2"/>
  <c r="G22" i="2"/>
  <c r="F22" i="2"/>
  <c r="E22" i="2"/>
  <c r="D22" i="2"/>
  <c r="C13" i="2"/>
  <c r="C19" i="2" s="1"/>
  <c r="I17" i="2"/>
  <c r="S101" i="6"/>
  <c r="R101" i="6"/>
  <c r="Q101" i="6"/>
  <c r="P101" i="6"/>
  <c r="O101" i="6"/>
  <c r="N101" i="6"/>
  <c r="R99" i="6"/>
  <c r="Q99" i="6" s="1"/>
  <c r="P99" i="6" s="1"/>
  <c r="O99" i="6" s="1"/>
  <c r="N99" i="6" s="1"/>
  <c r="O93" i="6"/>
  <c r="P93" i="6" s="1"/>
  <c r="Q93" i="6" s="1"/>
  <c r="R93" i="6" s="1"/>
  <c r="S93" i="6" s="1"/>
  <c r="R87" i="6"/>
  <c r="Q87" i="6" s="1"/>
  <c r="P87" i="6" s="1"/>
  <c r="O87" i="6" s="1"/>
  <c r="N87" i="6" s="1"/>
  <c r="H83" i="6"/>
  <c r="S89" i="6" s="1"/>
  <c r="S94" i="6" s="1"/>
  <c r="G83" i="6"/>
  <c r="R89" i="6" s="1"/>
  <c r="R94" i="6" s="1"/>
  <c r="F83" i="6"/>
  <c r="F88" i="6" s="1"/>
  <c r="E83" i="6"/>
  <c r="E88" i="6" s="1"/>
  <c r="D83" i="6"/>
  <c r="O89" i="6" s="1"/>
  <c r="O94" i="6" s="1"/>
  <c r="C83" i="6"/>
  <c r="N89" i="6" s="1"/>
  <c r="N94" i="6" s="1"/>
  <c r="D81" i="6"/>
  <c r="D87" i="6" s="1"/>
  <c r="Q79" i="6"/>
  <c r="S95" i="6" s="1"/>
  <c r="S100" i="6" s="1"/>
  <c r="P79" i="6"/>
  <c r="R95" i="6" s="1"/>
  <c r="R100" i="6" s="1"/>
  <c r="O79" i="6"/>
  <c r="Q95" i="6" s="1"/>
  <c r="Q100" i="6" s="1"/>
  <c r="N79" i="6"/>
  <c r="P95" i="6" s="1"/>
  <c r="P100" i="6" s="1"/>
  <c r="M79" i="6"/>
  <c r="O95" i="6" s="1"/>
  <c r="O100" i="6" s="1"/>
  <c r="L79" i="6"/>
  <c r="N95" i="6" s="1"/>
  <c r="N100" i="6" s="1"/>
  <c r="D75" i="6"/>
  <c r="E75" i="6" s="1"/>
  <c r="F75" i="6" s="1"/>
  <c r="G75" i="6" s="1"/>
  <c r="H75" i="6" s="1"/>
  <c r="S65" i="6"/>
  <c r="R65" i="6"/>
  <c r="Q65" i="6"/>
  <c r="P65" i="6"/>
  <c r="O65" i="6"/>
  <c r="N65" i="6"/>
  <c r="R63" i="6"/>
  <c r="Q63" i="6" s="1"/>
  <c r="P63" i="6" s="1"/>
  <c r="O63" i="6" s="1"/>
  <c r="N63" i="6" s="1"/>
  <c r="O57" i="6"/>
  <c r="P57" i="6" s="1"/>
  <c r="Q57" i="6" s="1"/>
  <c r="R57" i="6" s="1"/>
  <c r="S57" i="6" s="1"/>
  <c r="R51" i="6"/>
  <c r="Q51" i="6" s="1"/>
  <c r="P51" i="6" s="1"/>
  <c r="O51" i="6" s="1"/>
  <c r="N51" i="6" s="1"/>
  <c r="H46" i="6"/>
  <c r="S53" i="6" s="1"/>
  <c r="S58" i="6" s="1"/>
  <c r="G46" i="6"/>
  <c r="G51" i="6" s="1"/>
  <c r="F46" i="6"/>
  <c r="Q53" i="6" s="1"/>
  <c r="Q58" i="6" s="1"/>
  <c r="E46" i="6"/>
  <c r="D46" i="6"/>
  <c r="O53" i="6" s="1"/>
  <c r="O58" i="6" s="1"/>
  <c r="C46" i="6"/>
  <c r="C51" i="6" s="1"/>
  <c r="D44" i="6"/>
  <c r="D50" i="6" s="1"/>
  <c r="Q39" i="6"/>
  <c r="H40" i="6" s="1"/>
  <c r="H52" i="6" s="1"/>
  <c r="S59" i="6" s="1"/>
  <c r="S64" i="6" s="1"/>
  <c r="P39" i="6"/>
  <c r="G40" i="6" s="1"/>
  <c r="G52" i="6" s="1"/>
  <c r="R59" i="6" s="1"/>
  <c r="R64" i="6" s="1"/>
  <c r="O39" i="6"/>
  <c r="F40" i="6" s="1"/>
  <c r="N39" i="6"/>
  <c r="E40" i="6" s="1"/>
  <c r="E52" i="6" s="1"/>
  <c r="P59" i="6" s="1"/>
  <c r="P64" i="6" s="1"/>
  <c r="P66" i="6" s="1"/>
  <c r="M39" i="6"/>
  <c r="D40" i="6" s="1"/>
  <c r="D52" i="6" s="1"/>
  <c r="O59" i="6" s="1"/>
  <c r="O64" i="6" s="1"/>
  <c r="L39" i="6"/>
  <c r="C40" i="6" s="1"/>
  <c r="C52" i="6" s="1"/>
  <c r="N59" i="6" s="1"/>
  <c r="N64" i="6" s="1"/>
  <c r="H39" i="6"/>
  <c r="G39" i="6"/>
  <c r="R52" i="6" s="1"/>
  <c r="F39" i="6"/>
  <c r="Q52" i="6" s="1"/>
  <c r="E39" i="6"/>
  <c r="D39" i="6"/>
  <c r="C39" i="6"/>
  <c r="N52" i="6" s="1"/>
  <c r="D38" i="6"/>
  <c r="E38" i="6" s="1"/>
  <c r="F38" i="6" s="1"/>
  <c r="G38" i="6" s="1"/>
  <c r="H38" i="6" s="1"/>
  <c r="S27" i="6"/>
  <c r="R27" i="6"/>
  <c r="Q27" i="6"/>
  <c r="P27" i="6"/>
  <c r="O27" i="6"/>
  <c r="N27" i="6"/>
  <c r="R25" i="6"/>
  <c r="Q25" i="6" s="1"/>
  <c r="P25" i="6" s="1"/>
  <c r="O25" i="6" s="1"/>
  <c r="N25" i="6" s="1"/>
  <c r="O19" i="6"/>
  <c r="P19" i="6" s="1"/>
  <c r="Q19" i="6" s="1"/>
  <c r="R19" i="6" s="1"/>
  <c r="S19" i="6" s="1"/>
  <c r="R13" i="6"/>
  <c r="Q13" i="6" s="1"/>
  <c r="P13" i="6" s="1"/>
  <c r="O13" i="6" s="1"/>
  <c r="N13" i="6" s="1"/>
  <c r="H11" i="6"/>
  <c r="S15" i="6" s="1"/>
  <c r="S20" i="6" s="1"/>
  <c r="G11" i="6"/>
  <c r="G16" i="6" s="1"/>
  <c r="F11" i="6"/>
  <c r="F16" i="6" s="1"/>
  <c r="E11" i="6"/>
  <c r="P15" i="6" s="1"/>
  <c r="P20" i="6" s="1"/>
  <c r="D11" i="6"/>
  <c r="O15" i="6" s="1"/>
  <c r="O20" i="6" s="1"/>
  <c r="C11" i="6"/>
  <c r="C16" i="6" s="1"/>
  <c r="D9" i="6"/>
  <c r="E9" i="6" s="1"/>
  <c r="E15" i="6" s="1"/>
  <c r="Q8" i="6"/>
  <c r="S21" i="6" s="1"/>
  <c r="S26" i="6" s="1"/>
  <c r="S28" i="6" s="1"/>
  <c r="P8" i="6"/>
  <c r="O8" i="6"/>
  <c r="Q21" i="6" s="1"/>
  <c r="Q26" i="6" s="1"/>
  <c r="N8" i="6"/>
  <c r="P21" i="6" s="1"/>
  <c r="P26" i="6" s="1"/>
  <c r="M8" i="6"/>
  <c r="O21" i="6" s="1"/>
  <c r="O26" i="6" s="1"/>
  <c r="O28" i="6" s="1"/>
  <c r="L8" i="6"/>
  <c r="C5" i="6" s="1"/>
  <c r="P6" i="6"/>
  <c r="O6" i="6" s="1"/>
  <c r="N6" i="6" s="1"/>
  <c r="M6" i="6" s="1"/>
  <c r="L6" i="6" s="1"/>
  <c r="K6" i="6" s="1"/>
  <c r="D3" i="6"/>
  <c r="E3" i="6" s="1"/>
  <c r="F3" i="6" s="1"/>
  <c r="G3" i="6" s="1"/>
  <c r="H3" i="6" s="1"/>
  <c r="AA47" i="5"/>
  <c r="Z47" i="5"/>
  <c r="Y47" i="5"/>
  <c r="X47" i="5"/>
  <c r="W47" i="5"/>
  <c r="V47" i="5"/>
  <c r="U47" i="5"/>
  <c r="R47" i="5"/>
  <c r="Q47" i="5"/>
  <c r="P47" i="5"/>
  <c r="O47" i="5"/>
  <c r="N47" i="5"/>
  <c r="M47" i="5"/>
  <c r="L47" i="5"/>
  <c r="I47" i="5"/>
  <c r="H47" i="5"/>
  <c r="G47" i="5"/>
  <c r="F47" i="5"/>
  <c r="E47" i="5"/>
  <c r="D47" i="5"/>
  <c r="AA46" i="5"/>
  <c r="Z46" i="5"/>
  <c r="Y46" i="5"/>
  <c r="X46" i="5"/>
  <c r="W46" i="5"/>
  <c r="V46" i="5"/>
  <c r="U46" i="5"/>
  <c r="R46" i="5"/>
  <c r="Q46" i="5"/>
  <c r="P46" i="5"/>
  <c r="O46" i="5"/>
  <c r="N46" i="5"/>
  <c r="M46" i="5"/>
  <c r="L46" i="5"/>
  <c r="I46" i="5"/>
  <c r="H46" i="5"/>
  <c r="G46" i="5"/>
  <c r="F46" i="5"/>
  <c r="E46" i="5"/>
  <c r="D46" i="5"/>
  <c r="C46" i="5"/>
  <c r="AA45" i="5"/>
  <c r="Z45" i="5"/>
  <c r="Y45" i="5"/>
  <c r="X45" i="5"/>
  <c r="W45" i="5"/>
  <c r="V45" i="5"/>
  <c r="U45" i="5"/>
  <c r="R45" i="5"/>
  <c r="Q45" i="5"/>
  <c r="P45" i="5"/>
  <c r="O45" i="5"/>
  <c r="N45" i="5"/>
  <c r="M45" i="5"/>
  <c r="L45" i="5"/>
  <c r="I45" i="5"/>
  <c r="H45" i="5"/>
  <c r="G45" i="5"/>
  <c r="F45" i="5"/>
  <c r="E45" i="5"/>
  <c r="D45" i="5"/>
  <c r="C45" i="5"/>
  <c r="AA44" i="5"/>
  <c r="Z44" i="5"/>
  <c r="Y44" i="5"/>
  <c r="X44" i="5"/>
  <c r="W44" i="5"/>
  <c r="V44" i="5"/>
  <c r="U44" i="5"/>
  <c r="AA43" i="5"/>
  <c r="Z43" i="5"/>
  <c r="Y43" i="5"/>
  <c r="X43" i="5"/>
  <c r="W43" i="5"/>
  <c r="V43" i="5"/>
  <c r="AA42" i="5"/>
  <c r="Z42" i="5"/>
  <c r="Y42" i="5"/>
  <c r="X42" i="5"/>
  <c r="W42" i="5"/>
  <c r="V42" i="5"/>
  <c r="L42" i="5"/>
  <c r="C42" i="5"/>
  <c r="AA41" i="5"/>
  <c r="Z41" i="5"/>
  <c r="Y41" i="5"/>
  <c r="X41" i="5"/>
  <c r="W41" i="5"/>
  <c r="V41" i="5"/>
  <c r="U41" i="5"/>
  <c r="R41" i="5"/>
  <c r="Q41" i="5"/>
  <c r="P41" i="5"/>
  <c r="O41" i="5"/>
  <c r="N41" i="5"/>
  <c r="M41" i="5"/>
  <c r="L41" i="5"/>
  <c r="U30" i="5"/>
  <c r="R30" i="5"/>
  <c r="Q30" i="5"/>
  <c r="P30" i="5"/>
  <c r="O30" i="5"/>
  <c r="N30" i="5"/>
  <c r="M30" i="5"/>
  <c r="L30" i="5"/>
  <c r="I30" i="5"/>
  <c r="H30" i="5"/>
  <c r="G30" i="5"/>
  <c r="F30" i="5"/>
  <c r="E30" i="5"/>
  <c r="D30" i="5"/>
  <c r="C30" i="5"/>
  <c r="AA29" i="5"/>
  <c r="Z29" i="5"/>
  <c r="Y29" i="5"/>
  <c r="X29" i="5"/>
  <c r="W29" i="5"/>
  <c r="V29" i="5"/>
  <c r="U29" i="5"/>
  <c r="R29" i="5"/>
  <c r="Q29" i="5"/>
  <c r="P29" i="5"/>
  <c r="O29" i="5"/>
  <c r="N29" i="5"/>
  <c r="M29" i="5"/>
  <c r="L29" i="5"/>
  <c r="I29" i="5"/>
  <c r="H29" i="5"/>
  <c r="G29" i="5"/>
  <c r="F29" i="5"/>
  <c r="E29" i="5"/>
  <c r="D29" i="5"/>
  <c r="C29" i="5"/>
  <c r="AA28" i="5"/>
  <c r="Z28" i="5"/>
  <c r="Y28" i="5"/>
  <c r="X28" i="5"/>
  <c r="W28" i="5"/>
  <c r="V28" i="5"/>
  <c r="U28" i="5"/>
  <c r="R28" i="5"/>
  <c r="Q28" i="5"/>
  <c r="P28" i="5"/>
  <c r="O28" i="5"/>
  <c r="N28" i="5"/>
  <c r="M28" i="5"/>
  <c r="L28" i="5"/>
  <c r="I28" i="5"/>
  <c r="H28" i="5"/>
  <c r="G28" i="5"/>
  <c r="F28" i="5"/>
  <c r="E28" i="5"/>
  <c r="D28" i="5"/>
  <c r="C28" i="5"/>
  <c r="AA26" i="5"/>
  <c r="Z26" i="5"/>
  <c r="Y26" i="5"/>
  <c r="X26" i="5"/>
  <c r="W26" i="5"/>
  <c r="V26" i="5"/>
  <c r="U26" i="5"/>
  <c r="R26" i="5"/>
  <c r="Q26" i="5"/>
  <c r="P26" i="5"/>
  <c r="O26" i="5"/>
  <c r="N26" i="5"/>
  <c r="M26" i="5"/>
  <c r="L26" i="5"/>
  <c r="I26" i="5"/>
  <c r="H26" i="5"/>
  <c r="G26" i="5"/>
  <c r="F26" i="5"/>
  <c r="E26" i="5"/>
  <c r="D26" i="5"/>
  <c r="C26" i="5"/>
  <c r="AA25" i="5"/>
  <c r="Z25" i="5"/>
  <c r="Y25" i="5"/>
  <c r="X25" i="5"/>
  <c r="W25" i="5"/>
  <c r="V25" i="5"/>
  <c r="U25" i="5"/>
  <c r="R25" i="5"/>
  <c r="Q25" i="5"/>
  <c r="P25" i="5"/>
  <c r="O25" i="5"/>
  <c r="N25" i="5"/>
  <c r="M25" i="5"/>
  <c r="L25" i="5"/>
  <c r="I25" i="5"/>
  <c r="H25" i="5"/>
  <c r="G25" i="5"/>
  <c r="F25" i="5"/>
  <c r="E25" i="5"/>
  <c r="D25" i="5"/>
  <c r="C25" i="5"/>
  <c r="AA14" i="5"/>
  <c r="Z14" i="5"/>
  <c r="Y14" i="5"/>
  <c r="X14" i="5"/>
  <c r="W14" i="5"/>
  <c r="V14" i="5"/>
  <c r="R14" i="5"/>
  <c r="AA11" i="5"/>
  <c r="Z11" i="5"/>
  <c r="Y11" i="5"/>
  <c r="X11" i="5"/>
  <c r="W11" i="5"/>
  <c r="V11" i="5"/>
  <c r="U11" i="5"/>
  <c r="R11" i="5"/>
  <c r="Q11" i="5"/>
  <c r="P11" i="5"/>
  <c r="O11" i="5"/>
  <c r="N11" i="5"/>
  <c r="M11" i="5"/>
  <c r="L11" i="5"/>
  <c r="I11" i="5"/>
  <c r="H11" i="5"/>
  <c r="G11" i="5"/>
  <c r="F11" i="5"/>
  <c r="E11" i="5"/>
  <c r="D11" i="5"/>
  <c r="C11" i="5"/>
  <c r="AA4" i="5"/>
  <c r="Z4" i="5"/>
  <c r="Y4" i="5"/>
  <c r="X4" i="5"/>
  <c r="W4" i="5"/>
  <c r="V4" i="5"/>
  <c r="R4" i="5"/>
  <c r="Q4" i="5"/>
  <c r="P4" i="5"/>
  <c r="O4" i="5"/>
  <c r="N4" i="5"/>
  <c r="M4" i="5"/>
  <c r="I4" i="5"/>
  <c r="H4" i="5"/>
  <c r="G4" i="5"/>
  <c r="F4" i="5"/>
  <c r="E4" i="5"/>
  <c r="D4" i="5"/>
  <c r="I36" i="4"/>
  <c r="H36" i="4"/>
  <c r="G36" i="4"/>
  <c r="F36" i="4"/>
  <c r="E36" i="4"/>
  <c r="D36" i="4"/>
  <c r="I27" i="4"/>
  <c r="I30" i="4" s="1"/>
  <c r="R44" i="5" s="1"/>
  <c r="H27" i="4"/>
  <c r="G27" i="4"/>
  <c r="F27" i="4"/>
  <c r="F30" i="4" s="1"/>
  <c r="O44" i="5" s="1"/>
  <c r="E27" i="4"/>
  <c r="E30" i="4" s="1"/>
  <c r="N44" i="5" s="1"/>
  <c r="D27" i="4"/>
  <c r="C27" i="4"/>
  <c r="C30" i="4" s="1"/>
  <c r="L44" i="5" s="1"/>
  <c r="I23" i="4"/>
  <c r="H23" i="4"/>
  <c r="G23" i="4"/>
  <c r="F23" i="4"/>
  <c r="E23" i="4"/>
  <c r="D23" i="4"/>
  <c r="C23" i="4"/>
  <c r="I22" i="4"/>
  <c r="H22" i="4"/>
  <c r="G22" i="4"/>
  <c r="F22" i="4"/>
  <c r="E22" i="4"/>
  <c r="D22" i="4"/>
  <c r="C22" i="4"/>
  <c r="I19" i="4"/>
  <c r="R42" i="5" s="1"/>
  <c r="H19" i="4"/>
  <c r="Q42" i="5" s="1"/>
  <c r="G19" i="4"/>
  <c r="P42" i="5" s="1"/>
  <c r="F19" i="4"/>
  <c r="O42" i="5" s="1"/>
  <c r="E19" i="4"/>
  <c r="N42" i="5" s="1"/>
  <c r="D19" i="4"/>
  <c r="M42" i="5" s="1"/>
  <c r="I11" i="4"/>
  <c r="H11" i="4"/>
  <c r="H13" i="4" s="1"/>
  <c r="G11" i="4"/>
  <c r="G41" i="5" s="1"/>
  <c r="F11" i="4"/>
  <c r="F41" i="5" s="1"/>
  <c r="E11" i="4"/>
  <c r="D13" i="4"/>
  <c r="C11" i="4"/>
  <c r="C41" i="5" s="1"/>
  <c r="I7" i="4"/>
  <c r="H7" i="4"/>
  <c r="G7" i="4"/>
  <c r="F7" i="4"/>
  <c r="E7" i="4"/>
  <c r="D7" i="4"/>
  <c r="C7" i="4"/>
  <c r="I6" i="4"/>
  <c r="H6" i="4"/>
  <c r="G6" i="4"/>
  <c r="F6" i="4"/>
  <c r="E6" i="4"/>
  <c r="D6" i="4"/>
  <c r="C6" i="4"/>
  <c r="I3" i="4"/>
  <c r="I42" i="5" s="1"/>
  <c r="H3" i="4"/>
  <c r="H42" i="5" s="1"/>
  <c r="G3" i="4"/>
  <c r="G42" i="5" s="1"/>
  <c r="F3" i="4"/>
  <c r="F42" i="5" s="1"/>
  <c r="E3" i="4"/>
  <c r="E42" i="5" s="1"/>
  <c r="D3" i="4"/>
  <c r="D42" i="5" s="1"/>
  <c r="AI46" i="2"/>
  <c r="AH46" i="2"/>
  <c r="AG46" i="2"/>
  <c r="AF46" i="2"/>
  <c r="AE46" i="2"/>
  <c r="AD46" i="2"/>
  <c r="AC46" i="2"/>
  <c r="V46" i="2"/>
  <c r="U46" i="2"/>
  <c r="T46" i="2"/>
  <c r="S46" i="2"/>
  <c r="R46" i="2"/>
  <c r="Q46" i="2"/>
  <c r="P46" i="2"/>
  <c r="I46" i="2"/>
  <c r="H46" i="2"/>
  <c r="G46" i="2"/>
  <c r="F46" i="2"/>
  <c r="E46" i="2"/>
  <c r="D46" i="2"/>
  <c r="C46" i="2"/>
  <c r="I43" i="2"/>
  <c r="H43" i="2"/>
  <c r="G43" i="2"/>
  <c r="F43" i="2"/>
  <c r="E43" i="2"/>
  <c r="D43" i="2"/>
  <c r="C43" i="2"/>
  <c r="I41" i="2"/>
  <c r="H41" i="2"/>
  <c r="G41" i="2"/>
  <c r="F41" i="2"/>
  <c r="E41" i="2"/>
  <c r="D41" i="2"/>
  <c r="AI40" i="2"/>
  <c r="AI43" i="2" s="1"/>
  <c r="AH40" i="2"/>
  <c r="AH43" i="2" s="1"/>
  <c r="AG40" i="2"/>
  <c r="AG43" i="2" s="1"/>
  <c r="AF40" i="2"/>
  <c r="AE40" i="2"/>
  <c r="AE43" i="2" s="1"/>
  <c r="AD40" i="2"/>
  <c r="AD43" i="2" s="1"/>
  <c r="AC40" i="2"/>
  <c r="AC43" i="2" s="1"/>
  <c r="V40" i="2"/>
  <c r="V43" i="2" s="1"/>
  <c r="U40" i="2"/>
  <c r="T40" i="2"/>
  <c r="T43" i="2" s="1"/>
  <c r="S40" i="2"/>
  <c r="S43" i="2" s="1"/>
  <c r="R40" i="2"/>
  <c r="R43" i="2" s="1"/>
  <c r="Q40" i="2"/>
  <c r="P40" i="2"/>
  <c r="P43" i="2" s="1"/>
  <c r="AL36" i="2"/>
  <c r="AK36" i="2"/>
  <c r="Y36" i="2"/>
  <c r="X36" i="2"/>
  <c r="L36" i="2"/>
  <c r="K36" i="2"/>
  <c r="AL35" i="2"/>
  <c r="AK35" i="2"/>
  <c r="Y35" i="2"/>
  <c r="X35" i="2"/>
  <c r="L35" i="2"/>
  <c r="K35" i="2"/>
  <c r="AL34" i="2"/>
  <c r="AK34" i="2"/>
  <c r="Y34" i="2"/>
  <c r="X34" i="2"/>
  <c r="L34" i="2"/>
  <c r="K34" i="2"/>
  <c r="AI33" i="2"/>
  <c r="AH33" i="2"/>
  <c r="AG33" i="2"/>
  <c r="AF33" i="2"/>
  <c r="AE33" i="2"/>
  <c r="AD33" i="2"/>
  <c r="V33" i="2"/>
  <c r="U33" i="2"/>
  <c r="T33" i="2"/>
  <c r="S33" i="2"/>
  <c r="R33" i="2"/>
  <c r="Q33" i="2"/>
  <c r="I33" i="2"/>
  <c r="H33" i="2"/>
  <c r="G33" i="2"/>
  <c r="F33" i="2"/>
  <c r="E33" i="2"/>
  <c r="D33" i="2"/>
  <c r="AL32" i="2"/>
  <c r="AK32" i="2"/>
  <c r="Y32" i="2"/>
  <c r="X32" i="2"/>
  <c r="L32" i="2"/>
  <c r="K32" i="2"/>
  <c r="AL28" i="2"/>
  <c r="AK28" i="2"/>
  <c r="Y28" i="2"/>
  <c r="X28" i="2"/>
  <c r="L28" i="2"/>
  <c r="K28" i="2"/>
  <c r="AL27" i="2"/>
  <c r="AK27" i="2"/>
  <c r="Y27" i="2"/>
  <c r="X27" i="2"/>
  <c r="L27" i="2"/>
  <c r="K27" i="2"/>
  <c r="AL26" i="2"/>
  <c r="AK26" i="2"/>
  <c r="AL21" i="2"/>
  <c r="AK21" i="2"/>
  <c r="Y21" i="2"/>
  <c r="X21" i="2"/>
  <c r="L21" i="2"/>
  <c r="K21" i="2"/>
  <c r="AL18" i="2"/>
  <c r="AK18" i="2"/>
  <c r="Y18" i="2"/>
  <c r="X18" i="2"/>
  <c r="L18" i="2"/>
  <c r="K18" i="2"/>
  <c r="AI17" i="2"/>
  <c r="AH17" i="2"/>
  <c r="AG17" i="2"/>
  <c r="AF17" i="2"/>
  <c r="AE17" i="2"/>
  <c r="AD17" i="2"/>
  <c r="AC17" i="2"/>
  <c r="V17" i="2"/>
  <c r="U17" i="2"/>
  <c r="T17" i="2"/>
  <c r="S17" i="2"/>
  <c r="R17" i="2"/>
  <c r="Q17" i="2"/>
  <c r="P17" i="2"/>
  <c r="H17" i="2"/>
  <c r="G17" i="2"/>
  <c r="F17" i="2"/>
  <c r="E17" i="2"/>
  <c r="D17" i="2"/>
  <c r="C17" i="2"/>
  <c r="AL16" i="2"/>
  <c r="AK16" i="2"/>
  <c r="Y16" i="2"/>
  <c r="X16" i="2"/>
  <c r="L16" i="2"/>
  <c r="K16" i="2"/>
  <c r="AI13" i="2"/>
  <c r="AH13" i="2"/>
  <c r="AH15" i="2" s="1"/>
  <c r="AG13" i="2"/>
  <c r="AG15" i="2" s="1"/>
  <c r="AF13" i="2"/>
  <c r="AE13" i="2"/>
  <c r="AE19" i="2" s="1"/>
  <c r="AD13" i="2"/>
  <c r="AD19" i="2" s="1"/>
  <c r="AC13" i="2"/>
  <c r="AC15" i="2" s="1"/>
  <c r="V13" i="2"/>
  <c r="V19" i="2" s="1"/>
  <c r="U13" i="2"/>
  <c r="U19" i="2" s="1"/>
  <c r="T13" i="2"/>
  <c r="T19" i="2" s="1"/>
  <c r="T24" i="2" s="1"/>
  <c r="S13" i="2"/>
  <c r="F25" i="4" s="1"/>
  <c r="R13" i="2"/>
  <c r="R19" i="2" s="1"/>
  <c r="Q13" i="2"/>
  <c r="P13" i="2"/>
  <c r="P19" i="2" s="1"/>
  <c r="P23" i="2" s="1"/>
  <c r="L31" i="5" s="1"/>
  <c r="I13" i="2"/>
  <c r="I15" i="2" s="1"/>
  <c r="H13" i="2"/>
  <c r="H15" i="2" s="1"/>
  <c r="G13" i="2"/>
  <c r="G9" i="4" s="1"/>
  <c r="F13" i="2"/>
  <c r="F15" i="2" s="1"/>
  <c r="E13" i="2"/>
  <c r="E15" i="2" s="1"/>
  <c r="D13" i="2"/>
  <c r="D15" i="2" s="1"/>
  <c r="AI6" i="2"/>
  <c r="AI11" i="2" s="1"/>
  <c r="AH6" i="2"/>
  <c r="AH11" i="2" s="1"/>
  <c r="AG6" i="2"/>
  <c r="AG11" i="2" s="1"/>
  <c r="AG12" i="2" s="1"/>
  <c r="Y12" i="5" s="1"/>
  <c r="AF6" i="2"/>
  <c r="AF11" i="2" s="1"/>
  <c r="AE6" i="2"/>
  <c r="AE11" i="2" s="1"/>
  <c r="AD6" i="2"/>
  <c r="AD11" i="2" s="1"/>
  <c r="AC6" i="2"/>
  <c r="AC11" i="2" s="1"/>
  <c r="AC12" i="2" s="1"/>
  <c r="U12" i="5" s="1"/>
  <c r="V6" i="2"/>
  <c r="R21" i="5" s="1"/>
  <c r="U6" i="2"/>
  <c r="Q21" i="5" s="1"/>
  <c r="T6" i="2"/>
  <c r="P21" i="5" s="1"/>
  <c r="S6" i="2"/>
  <c r="O21" i="5" s="1"/>
  <c r="R6" i="2"/>
  <c r="N21" i="5" s="1"/>
  <c r="Q6" i="2"/>
  <c r="M21" i="5" s="1"/>
  <c r="P6" i="2"/>
  <c r="L21" i="5" s="1"/>
  <c r="I6" i="2"/>
  <c r="I21" i="5" s="1"/>
  <c r="H6" i="2"/>
  <c r="H21" i="5" s="1"/>
  <c r="G6" i="2"/>
  <c r="G21" i="5" s="1"/>
  <c r="F6" i="2"/>
  <c r="F11" i="2" s="1"/>
  <c r="E6" i="2"/>
  <c r="E21" i="5" s="1"/>
  <c r="D6" i="2"/>
  <c r="D21" i="5" s="1"/>
  <c r="C6" i="2"/>
  <c r="C21" i="5" s="1"/>
  <c r="AI3" i="2"/>
  <c r="AA3" i="5" s="1"/>
  <c r="AH3" i="2"/>
  <c r="Z3" i="5" s="1"/>
  <c r="AG3" i="2"/>
  <c r="Y3" i="5" s="1"/>
  <c r="AF3" i="2"/>
  <c r="X3" i="5" s="1"/>
  <c r="AE3" i="2"/>
  <c r="W3" i="5" s="1"/>
  <c r="AD3" i="2"/>
  <c r="V3" i="5" s="1"/>
  <c r="V3" i="2"/>
  <c r="R3" i="5" s="1"/>
  <c r="U3" i="2"/>
  <c r="Q3" i="5" s="1"/>
  <c r="T3" i="2"/>
  <c r="P3" i="5" s="1"/>
  <c r="S3" i="2"/>
  <c r="O3" i="5" s="1"/>
  <c r="R3" i="2"/>
  <c r="N3" i="5" s="1"/>
  <c r="Q3" i="2"/>
  <c r="M3" i="5" s="1"/>
  <c r="I3" i="2"/>
  <c r="H3" i="2"/>
  <c r="G3" i="2"/>
  <c r="F3" i="2"/>
  <c r="E3" i="2"/>
  <c r="D3" i="2"/>
  <c r="D3" i="5" s="1"/>
  <c r="AL2" i="2"/>
  <c r="AK2" i="2"/>
  <c r="Y2" i="2"/>
  <c r="X2" i="2"/>
  <c r="L2" i="2"/>
  <c r="K2" i="2"/>
  <c r="D22" i="12" l="1"/>
  <c r="F8" i="12"/>
  <c r="E69" i="12"/>
  <c r="F69" i="12"/>
  <c r="F21" i="12"/>
  <c r="D69" i="12"/>
  <c r="I36" i="12"/>
  <c r="C9" i="12"/>
  <c r="I37" i="12"/>
  <c r="D9" i="12"/>
  <c r="D23" i="12"/>
  <c r="D10" i="12"/>
  <c r="I47" i="12"/>
  <c r="E48" i="12"/>
  <c r="E22" i="12"/>
  <c r="G48" i="12"/>
  <c r="F48" i="12"/>
  <c r="C22" i="12"/>
  <c r="D46" i="12"/>
  <c r="E19" i="2"/>
  <c r="E23" i="2" s="1"/>
  <c r="Q14" i="2"/>
  <c r="AI14" i="2"/>
  <c r="AF14" i="2"/>
  <c r="S14" i="2"/>
  <c r="AG14" i="2"/>
  <c r="AD14" i="2"/>
  <c r="AH14" i="2"/>
  <c r="AE14" i="2"/>
  <c r="T14" i="2"/>
  <c r="U14" i="2"/>
  <c r="R14" i="2"/>
  <c r="V14" i="2"/>
  <c r="G14" i="2"/>
  <c r="H14" i="2"/>
  <c r="F14" i="2"/>
  <c r="E14" i="2"/>
  <c r="I14" i="2"/>
  <c r="D14" i="2"/>
  <c r="F77" i="6"/>
  <c r="F89" i="6" s="1"/>
  <c r="F90" i="6" s="1"/>
  <c r="Y36" i="5" s="1"/>
  <c r="E5" i="6"/>
  <c r="E17" i="6" s="1"/>
  <c r="Q54" i="6"/>
  <c r="AD15" i="2"/>
  <c r="I29" i="4"/>
  <c r="R43" i="5" s="1"/>
  <c r="P102" i="6"/>
  <c r="G88" i="6"/>
  <c r="G77" i="6"/>
  <c r="G89" i="6" s="1"/>
  <c r="R102" i="6"/>
  <c r="Q28" i="6"/>
  <c r="F9" i="6"/>
  <c r="F15" i="6" s="1"/>
  <c r="E16" i="6"/>
  <c r="N102" i="6"/>
  <c r="AL13" i="2"/>
  <c r="E41" i="6"/>
  <c r="N66" i="6"/>
  <c r="R66" i="6"/>
  <c r="O102" i="6"/>
  <c r="S102" i="6"/>
  <c r="F10" i="5"/>
  <c r="O60" i="6"/>
  <c r="F19" i="2"/>
  <c r="F23" i="2" s="1"/>
  <c r="F31" i="5" s="1"/>
  <c r="O22" i="6"/>
  <c r="O66" i="6"/>
  <c r="S66" i="6"/>
  <c r="D51" i="6"/>
  <c r="D53" i="6" s="1"/>
  <c r="N36" i="5" s="1"/>
  <c r="P15" i="2"/>
  <c r="AH19" i="2"/>
  <c r="AH24" i="2" s="1"/>
  <c r="AH29" i="2" s="1"/>
  <c r="R41" i="2"/>
  <c r="V41" i="2"/>
  <c r="W10" i="5"/>
  <c r="C25" i="4"/>
  <c r="E77" i="6"/>
  <c r="E89" i="6" s="1"/>
  <c r="E90" i="6" s="1"/>
  <c r="X36" i="5" s="1"/>
  <c r="E11" i="2"/>
  <c r="E12" i="2" s="1"/>
  <c r="E12" i="5" s="1"/>
  <c r="S11" i="2"/>
  <c r="S12" i="2" s="1"/>
  <c r="O12" i="5" s="1"/>
  <c r="AA10" i="5"/>
  <c r="AI41" i="2"/>
  <c r="C13" i="4"/>
  <c r="C44" i="5" s="1"/>
  <c r="F29" i="4"/>
  <c r="O43" i="5" s="1"/>
  <c r="F6" i="5"/>
  <c r="O96" i="6"/>
  <c r="G11" i="2"/>
  <c r="G5" i="5" s="1"/>
  <c r="U11" i="2"/>
  <c r="L13" i="2"/>
  <c r="X13" i="2"/>
  <c r="R15" i="2"/>
  <c r="AF15" i="2"/>
  <c r="AF41" i="2"/>
  <c r="AF43" i="2"/>
  <c r="Y10" i="5" s="1"/>
  <c r="G29" i="4"/>
  <c r="P43" i="5" s="1"/>
  <c r="D15" i="6"/>
  <c r="H16" i="6"/>
  <c r="E44" i="6"/>
  <c r="E50" i="6" s="1"/>
  <c r="H51" i="6"/>
  <c r="H53" i="6" s="1"/>
  <c r="R36" i="5" s="1"/>
  <c r="C77" i="6"/>
  <c r="C89" i="6" s="1"/>
  <c r="T15" i="2"/>
  <c r="O10" i="5"/>
  <c r="D10" i="5"/>
  <c r="H10" i="5"/>
  <c r="G13" i="4"/>
  <c r="F5" i="6"/>
  <c r="F17" i="6" s="1"/>
  <c r="F18" i="6" s="1"/>
  <c r="G36" i="5" s="1"/>
  <c r="S22" i="6"/>
  <c r="Q15" i="6"/>
  <c r="Q20" i="6" s="1"/>
  <c r="Q22" i="6" s="1"/>
  <c r="N53" i="6"/>
  <c r="N58" i="6" s="1"/>
  <c r="N60" i="6" s="1"/>
  <c r="D77" i="6"/>
  <c r="D89" i="6" s="1"/>
  <c r="H77" i="6"/>
  <c r="H89" i="6" s="1"/>
  <c r="Q102" i="6"/>
  <c r="E81" i="6"/>
  <c r="E87" i="6" s="1"/>
  <c r="I11" i="2"/>
  <c r="I12" i="2" s="1"/>
  <c r="I12" i="5" s="1"/>
  <c r="C11" i="2"/>
  <c r="C12" i="2" s="1"/>
  <c r="C12" i="5" s="1"/>
  <c r="Q11" i="2"/>
  <c r="Q12" i="2" s="1"/>
  <c r="M12" i="5" s="1"/>
  <c r="M6" i="5"/>
  <c r="V15" i="2"/>
  <c r="AD41" i="2"/>
  <c r="AH41" i="2"/>
  <c r="AE41" i="2"/>
  <c r="G12" i="4"/>
  <c r="G43" i="5" s="1"/>
  <c r="P28" i="6"/>
  <c r="P22" i="6"/>
  <c r="D16" i="6"/>
  <c r="R53" i="6"/>
  <c r="R58" i="6" s="1"/>
  <c r="R60" i="6" s="1"/>
  <c r="N96" i="6"/>
  <c r="R96" i="6"/>
  <c r="C88" i="6"/>
  <c r="P89" i="6"/>
  <c r="P94" i="6" s="1"/>
  <c r="P96" i="6" s="1"/>
  <c r="R7" i="5"/>
  <c r="V24" i="2"/>
  <c r="V20" i="2"/>
  <c r="R13" i="5" s="1"/>
  <c r="V23" i="2"/>
  <c r="F12" i="2"/>
  <c r="F12" i="5" s="1"/>
  <c r="V5" i="5"/>
  <c r="AD12" i="2"/>
  <c r="V12" i="5" s="1"/>
  <c r="Z5" i="5"/>
  <c r="AH12" i="2"/>
  <c r="Z12" i="5" s="1"/>
  <c r="T29" i="2"/>
  <c r="T26" i="2"/>
  <c r="P14" i="5" s="1"/>
  <c r="R24" i="2"/>
  <c r="R20" i="2"/>
  <c r="N13" i="5" s="1"/>
  <c r="R23" i="2"/>
  <c r="N31" i="5" s="1"/>
  <c r="W7" i="5"/>
  <c r="AE24" i="2"/>
  <c r="AE20" i="2"/>
  <c r="W13" i="5" s="1"/>
  <c r="AE23" i="2"/>
  <c r="W31" i="5" s="1"/>
  <c r="X5" i="5"/>
  <c r="AF12" i="2"/>
  <c r="X12" i="5" s="1"/>
  <c r="Q7" i="5"/>
  <c r="U23" i="2"/>
  <c r="Q31" i="5" s="1"/>
  <c r="U24" i="2"/>
  <c r="U20" i="2"/>
  <c r="Q13" i="5" s="1"/>
  <c r="AA5" i="5"/>
  <c r="C27" i="5"/>
  <c r="AD23" i="2"/>
  <c r="V31" i="5" s="1"/>
  <c r="P10" i="5"/>
  <c r="D29" i="4"/>
  <c r="M43" i="5" s="1"/>
  <c r="D30" i="4"/>
  <c r="M44" i="5" s="1"/>
  <c r="D11" i="2"/>
  <c r="H11" i="2"/>
  <c r="P11" i="2"/>
  <c r="P12" i="2" s="1"/>
  <c r="L12" i="5" s="1"/>
  <c r="T11" i="2"/>
  <c r="AK11" i="2"/>
  <c r="D6" i="5"/>
  <c r="H6" i="5"/>
  <c r="H27" i="5"/>
  <c r="L27" i="5"/>
  <c r="P27" i="5"/>
  <c r="P6" i="5"/>
  <c r="Y13" i="2"/>
  <c r="AK13" i="2"/>
  <c r="S15" i="2"/>
  <c r="G19" i="2"/>
  <c r="Q19" i="2"/>
  <c r="N7" i="5" s="1"/>
  <c r="AI19" i="2"/>
  <c r="P20" i="2"/>
  <c r="L13" i="5" s="1"/>
  <c r="T20" i="2"/>
  <c r="P13" i="5" s="1"/>
  <c r="AD20" i="2"/>
  <c r="V13" i="5" s="1"/>
  <c r="P24" i="2"/>
  <c r="Q41" i="2"/>
  <c r="U41" i="2"/>
  <c r="G10" i="5"/>
  <c r="Q43" i="2"/>
  <c r="M10" i="5" s="1"/>
  <c r="U43" i="2"/>
  <c r="Q10" i="5" s="1"/>
  <c r="D9" i="4"/>
  <c r="D41" i="5"/>
  <c r="D12" i="4"/>
  <c r="D43" i="5" s="1"/>
  <c r="H41" i="5"/>
  <c r="H12" i="4"/>
  <c r="H43" i="5" s="1"/>
  <c r="P53" i="6"/>
  <c r="P58" i="6" s="1"/>
  <c r="P60" i="6" s="1"/>
  <c r="E51" i="6"/>
  <c r="E53" i="6" s="1"/>
  <c r="O36" i="5" s="1"/>
  <c r="W27" i="5"/>
  <c r="W6" i="5"/>
  <c r="Z10" i="5"/>
  <c r="Y5" i="5"/>
  <c r="AL11" i="2"/>
  <c r="E27" i="5"/>
  <c r="E6" i="5"/>
  <c r="E9" i="4"/>
  <c r="I27" i="5"/>
  <c r="I6" i="5"/>
  <c r="I9" i="4"/>
  <c r="M27" i="5"/>
  <c r="D25" i="4"/>
  <c r="Q27" i="5"/>
  <c r="H25" i="4"/>
  <c r="U27" i="5"/>
  <c r="Y27" i="5"/>
  <c r="Y6" i="5"/>
  <c r="D19" i="2"/>
  <c r="H19" i="2"/>
  <c r="H24" i="2" s="1"/>
  <c r="AF19" i="2"/>
  <c r="T23" i="2"/>
  <c r="P31" i="5" s="1"/>
  <c r="AG41" i="2"/>
  <c r="E12" i="4"/>
  <c r="E43" i="5" s="1"/>
  <c r="E13" i="4"/>
  <c r="E41" i="5"/>
  <c r="I12" i="4"/>
  <c r="I43" i="5" s="1"/>
  <c r="I41" i="5"/>
  <c r="I13" i="4"/>
  <c r="G25" i="4"/>
  <c r="E29" i="4"/>
  <c r="N43" i="5" s="1"/>
  <c r="Q6" i="5"/>
  <c r="F21" i="5"/>
  <c r="D27" i="5"/>
  <c r="W5" i="5"/>
  <c r="G27" i="5"/>
  <c r="G6" i="5"/>
  <c r="O27" i="5"/>
  <c r="O6" i="5"/>
  <c r="AA27" i="5"/>
  <c r="AA6" i="5"/>
  <c r="T41" i="2"/>
  <c r="V10" i="5"/>
  <c r="C9" i="4"/>
  <c r="H29" i="4"/>
  <c r="Q43" i="5" s="1"/>
  <c r="H30" i="4"/>
  <c r="Q44" i="5" s="1"/>
  <c r="R11" i="2"/>
  <c r="V11" i="2"/>
  <c r="AE12" i="2"/>
  <c r="W12" i="5" s="1"/>
  <c r="AI12" i="2"/>
  <c r="AA12" i="5" s="1"/>
  <c r="F27" i="5"/>
  <c r="F9" i="4"/>
  <c r="K13" i="2"/>
  <c r="E25" i="4"/>
  <c r="N27" i="5"/>
  <c r="N6" i="5"/>
  <c r="R27" i="5"/>
  <c r="I25" i="4"/>
  <c r="R6" i="5"/>
  <c r="V27" i="5"/>
  <c r="V6" i="5"/>
  <c r="Z27" i="5"/>
  <c r="Z6" i="5"/>
  <c r="C15" i="2"/>
  <c r="G15" i="2"/>
  <c r="Q15" i="2"/>
  <c r="U15" i="2"/>
  <c r="AE15" i="2"/>
  <c r="AI15" i="2"/>
  <c r="I19" i="2"/>
  <c r="I24" i="2" s="1"/>
  <c r="S19" i="2"/>
  <c r="AC19" i="2"/>
  <c r="V7" i="5" s="1"/>
  <c r="AG19" i="2"/>
  <c r="AD24" i="2"/>
  <c r="S41" i="2"/>
  <c r="E10" i="5"/>
  <c r="I10" i="5"/>
  <c r="H9" i="4"/>
  <c r="F12" i="4"/>
  <c r="F43" i="5" s="1"/>
  <c r="G30" i="4"/>
  <c r="P44" i="5" s="1"/>
  <c r="X6" i="5"/>
  <c r="X27" i="5"/>
  <c r="N21" i="6"/>
  <c r="N26" i="6" s="1"/>
  <c r="N28" i="6" s="1"/>
  <c r="C17" i="6"/>
  <c r="C18" i="6" s="1"/>
  <c r="D36" i="5" s="1"/>
  <c r="R21" i="6"/>
  <c r="R26" i="6" s="1"/>
  <c r="R28" i="6" s="1"/>
  <c r="G5" i="6"/>
  <c r="G17" i="6" s="1"/>
  <c r="G18" i="6" s="1"/>
  <c r="H36" i="5" s="1"/>
  <c r="D41" i="6"/>
  <c r="O52" i="6"/>
  <c r="O54" i="6" s="1"/>
  <c r="H41" i="6"/>
  <c r="S52" i="6"/>
  <c r="S54" i="6" s="1"/>
  <c r="F52" i="6"/>
  <c r="Q59" i="6" s="1"/>
  <c r="Q64" i="6" s="1"/>
  <c r="Q66" i="6" s="1"/>
  <c r="F41" i="6"/>
  <c r="F13" i="4"/>
  <c r="S60" i="6"/>
  <c r="S96" i="6"/>
  <c r="N15" i="6"/>
  <c r="N20" i="6" s="1"/>
  <c r="R15" i="6"/>
  <c r="R20" i="6" s="1"/>
  <c r="C53" i="6"/>
  <c r="M36" i="5" s="1"/>
  <c r="G53" i="6"/>
  <c r="Q36" i="5" s="1"/>
  <c r="D5" i="6"/>
  <c r="D17" i="6" s="1"/>
  <c r="H5" i="6"/>
  <c r="H17" i="6" s="1"/>
  <c r="C41" i="6"/>
  <c r="G41" i="6"/>
  <c r="D88" i="6"/>
  <c r="H88" i="6"/>
  <c r="Q89" i="6"/>
  <c r="Q94" i="6" s="1"/>
  <c r="Q96" i="6" s="1"/>
  <c r="F51" i="6"/>
  <c r="P52" i="6"/>
  <c r="E68" i="12" l="1"/>
  <c r="E64" i="12"/>
  <c r="D68" i="12"/>
  <c r="F22" i="12"/>
  <c r="D11" i="12"/>
  <c r="I42" i="12"/>
  <c r="F47" i="12"/>
  <c r="F64" i="12"/>
  <c r="F68" i="12"/>
  <c r="D64" i="12"/>
  <c r="F9" i="12"/>
  <c r="G47" i="12"/>
  <c r="C47" i="12"/>
  <c r="D47" i="12"/>
  <c r="E46" i="12"/>
  <c r="G46" i="12"/>
  <c r="F46" i="12"/>
  <c r="D41" i="12"/>
  <c r="E43" i="12"/>
  <c r="G43" i="12"/>
  <c r="C48" i="12"/>
  <c r="F43" i="12"/>
  <c r="H48" i="12"/>
  <c r="E47" i="12"/>
  <c r="H47" i="12"/>
  <c r="H29" i="2"/>
  <c r="E18" i="6"/>
  <c r="F36" i="5" s="1"/>
  <c r="E31" i="5"/>
  <c r="E24" i="2"/>
  <c r="G9" i="6"/>
  <c r="H9" i="6" s="1"/>
  <c r="H15" i="6" s="1"/>
  <c r="AH23" i="2"/>
  <c r="Z31" i="5" s="1"/>
  <c r="G90" i="6"/>
  <c r="Z36" i="5" s="1"/>
  <c r="AH20" i="2"/>
  <c r="Z13" i="5" s="1"/>
  <c r="O68" i="6"/>
  <c r="N37" i="5" s="1"/>
  <c r="D18" i="6"/>
  <c r="E36" i="5" s="1"/>
  <c r="H90" i="6"/>
  <c r="AA36" i="5" s="1"/>
  <c r="L11" i="2"/>
  <c r="K11" i="2"/>
  <c r="N10" i="5"/>
  <c r="F20" i="2"/>
  <c r="F13" i="5" s="1"/>
  <c r="G12" i="2"/>
  <c r="G12" i="5" s="1"/>
  <c r="I5" i="5"/>
  <c r="F81" i="6"/>
  <c r="G81" i="6" s="1"/>
  <c r="M5" i="5"/>
  <c r="F24" i="2"/>
  <c r="F26" i="2" s="1"/>
  <c r="F14" i="5" s="1"/>
  <c r="X10" i="5"/>
  <c r="R54" i="6"/>
  <c r="R68" i="6" s="1"/>
  <c r="Q37" i="5" s="1"/>
  <c r="E5" i="5"/>
  <c r="C90" i="6"/>
  <c r="V36" i="5" s="1"/>
  <c r="Q5" i="5"/>
  <c r="N54" i="6"/>
  <c r="N68" i="6" s="1"/>
  <c r="M37" i="5" s="1"/>
  <c r="H18" i="6"/>
  <c r="I36" i="5" s="1"/>
  <c r="R22" i="6"/>
  <c r="F5" i="5"/>
  <c r="P54" i="6"/>
  <c r="P68" i="6" s="1"/>
  <c r="O37" i="5" s="1"/>
  <c r="D90" i="6"/>
  <c r="W36" i="5" s="1"/>
  <c r="F44" i="6"/>
  <c r="G44" i="6" s="1"/>
  <c r="U12" i="2"/>
  <c r="Q12" i="5" s="1"/>
  <c r="R10" i="5"/>
  <c r="AD29" i="2"/>
  <c r="O7" i="5"/>
  <c r="S24" i="2"/>
  <c r="S23" i="2"/>
  <c r="O31" i="5" s="1"/>
  <c r="S20" i="2"/>
  <c r="O13" i="5" s="1"/>
  <c r="R5" i="5"/>
  <c r="V12" i="2"/>
  <c r="R12" i="5" s="1"/>
  <c r="X11" i="2"/>
  <c r="Y11" i="2"/>
  <c r="X7" i="5"/>
  <c r="AF20" i="2"/>
  <c r="X13" i="5" s="1"/>
  <c r="AF23" i="2"/>
  <c r="X31" i="5" s="1"/>
  <c r="AF24" i="2"/>
  <c r="C20" i="2"/>
  <c r="C13" i="5" s="1"/>
  <c r="C24" i="2"/>
  <c r="C23" i="2"/>
  <c r="C31" i="5" s="1"/>
  <c r="P5" i="5"/>
  <c r="T12" i="2"/>
  <c r="P12" i="5" s="1"/>
  <c r="Q8" i="5"/>
  <c r="U29" i="2"/>
  <c r="U26" i="2"/>
  <c r="Q14" i="5" s="1"/>
  <c r="U25" i="2"/>
  <c r="F45" i="6"/>
  <c r="F47" i="6" s="1"/>
  <c r="G24" i="4"/>
  <c r="G31" i="4"/>
  <c r="T47" i="2"/>
  <c r="T31" i="2"/>
  <c r="P15" i="5" s="1"/>
  <c r="R31" i="5"/>
  <c r="N22" i="6"/>
  <c r="S68" i="6"/>
  <c r="R37" i="5" s="1"/>
  <c r="I7" i="5"/>
  <c r="I23" i="2"/>
  <c r="I20" i="2"/>
  <c r="I13" i="5" s="1"/>
  <c r="N5" i="5"/>
  <c r="R12" i="2"/>
  <c r="N12" i="5" s="1"/>
  <c r="H20" i="2"/>
  <c r="H13" i="5" s="1"/>
  <c r="H23" i="2"/>
  <c r="H31" i="5" s="1"/>
  <c r="H7" i="5"/>
  <c r="P7" i="5"/>
  <c r="AA7" i="5"/>
  <c r="AI20" i="2"/>
  <c r="AA13" i="5" s="1"/>
  <c r="AI23" i="2"/>
  <c r="AI24" i="2"/>
  <c r="O5" i="5"/>
  <c r="Y7" i="5"/>
  <c r="AG23" i="2"/>
  <c r="Y31" i="5" s="1"/>
  <c r="AG20" i="2"/>
  <c r="Y13" i="5" s="1"/>
  <c r="AG24" i="2"/>
  <c r="E7" i="5"/>
  <c r="E20" i="2"/>
  <c r="E13" i="5" s="1"/>
  <c r="D20" i="2"/>
  <c r="D13" i="5" s="1"/>
  <c r="D7" i="5"/>
  <c r="D23" i="2"/>
  <c r="D31" i="5" s="1"/>
  <c r="D24" i="2"/>
  <c r="M7" i="5"/>
  <c r="Q23" i="2"/>
  <c r="M31" i="5" s="1"/>
  <c r="Q24" i="2"/>
  <c r="X24" i="2" s="1"/>
  <c r="Q20" i="2"/>
  <c r="M13" i="5" s="1"/>
  <c r="H5" i="5"/>
  <c r="H12" i="2"/>
  <c r="H12" i="5" s="1"/>
  <c r="F7" i="5"/>
  <c r="G76" i="6"/>
  <c r="G82" i="6"/>
  <c r="G84" i="6" s="1"/>
  <c r="AH31" i="2"/>
  <c r="Z15" i="5" s="1"/>
  <c r="AH47" i="2"/>
  <c r="R8" i="5"/>
  <c r="V29" i="2"/>
  <c r="F53" i="6"/>
  <c r="P36" i="5" s="1"/>
  <c r="Q60" i="6"/>
  <c r="Q68" i="6" s="1"/>
  <c r="P37" i="5" s="1"/>
  <c r="AC23" i="2"/>
  <c r="U31" i="5" s="1"/>
  <c r="AC20" i="2"/>
  <c r="U13" i="5" s="1"/>
  <c r="AC24" i="2"/>
  <c r="Z7" i="5"/>
  <c r="P26" i="2"/>
  <c r="L14" i="5" s="1"/>
  <c r="P29" i="2"/>
  <c r="G7" i="5"/>
  <c r="G20" i="2"/>
  <c r="G13" i="5" s="1"/>
  <c r="G23" i="2"/>
  <c r="G31" i="5" s="1"/>
  <c r="G24" i="2"/>
  <c r="D5" i="5"/>
  <c r="D12" i="2"/>
  <c r="D12" i="5" s="1"/>
  <c r="W8" i="5"/>
  <c r="AE29" i="2"/>
  <c r="R29" i="2"/>
  <c r="R26" i="2"/>
  <c r="N14" i="5" s="1"/>
  <c r="D48" i="12" l="1"/>
  <c r="C46" i="12"/>
  <c r="C10" i="12"/>
  <c r="I46" i="12"/>
  <c r="C23" i="12"/>
  <c r="F42" i="12"/>
  <c r="E23" i="12"/>
  <c r="E10" i="12"/>
  <c r="I48" i="12"/>
  <c r="H46" i="12"/>
  <c r="C41" i="12"/>
  <c r="G15" i="6"/>
  <c r="G42" i="12"/>
  <c r="E42" i="12"/>
  <c r="C43" i="12"/>
  <c r="D43" i="12"/>
  <c r="D42" i="12"/>
  <c r="H42" i="12"/>
  <c r="C42" i="12"/>
  <c r="F41" i="12"/>
  <c r="E41" i="12"/>
  <c r="G41" i="12"/>
  <c r="H43" i="12"/>
  <c r="F29" i="2"/>
  <c r="F31" i="2" s="1"/>
  <c r="F15" i="5" s="1"/>
  <c r="F87" i="6"/>
  <c r="F8" i="5"/>
  <c r="N8" i="5"/>
  <c r="F25" i="2"/>
  <c r="R25" i="2"/>
  <c r="F50" i="6"/>
  <c r="AC29" i="2"/>
  <c r="AD30" i="2" s="1"/>
  <c r="AC26" i="2"/>
  <c r="U14" i="5" s="1"/>
  <c r="I8" i="5"/>
  <c r="K24" i="2"/>
  <c r="L24" i="2"/>
  <c r="I25" i="2"/>
  <c r="I29" i="2"/>
  <c r="I26" i="2"/>
  <c r="D82" i="6"/>
  <c r="D84" i="6" s="1"/>
  <c r="D76" i="6"/>
  <c r="W9" i="5"/>
  <c r="AE47" i="2"/>
  <c r="AE30" i="2"/>
  <c r="AE31" i="2"/>
  <c r="W15" i="5" s="1"/>
  <c r="G8" i="5"/>
  <c r="G29" i="2"/>
  <c r="G26" i="2"/>
  <c r="G14" i="5" s="1"/>
  <c r="G25" i="2"/>
  <c r="C24" i="4"/>
  <c r="C31" i="4"/>
  <c r="P47" i="2"/>
  <c r="P31" i="2"/>
  <c r="L15" i="5" s="1"/>
  <c r="G92" i="6"/>
  <c r="Z34" i="5" s="1"/>
  <c r="Z35" i="5"/>
  <c r="AA8" i="5"/>
  <c r="AI29" i="2"/>
  <c r="AL24" i="2"/>
  <c r="AK24" i="2"/>
  <c r="C29" i="2"/>
  <c r="C26" i="2"/>
  <c r="C14" i="5" s="1"/>
  <c r="O8" i="5"/>
  <c r="S29" i="2"/>
  <c r="Y29" i="2" s="1"/>
  <c r="S26" i="2"/>
  <c r="S25" i="2"/>
  <c r="T25" i="2"/>
  <c r="P8" i="5"/>
  <c r="V8" i="5"/>
  <c r="Y24" i="2"/>
  <c r="G78" i="6"/>
  <c r="R88" i="6"/>
  <c r="R90" i="6" s="1"/>
  <c r="R104" i="6" s="1"/>
  <c r="Z37" i="5" s="1"/>
  <c r="D8" i="5"/>
  <c r="D25" i="2"/>
  <c r="D29" i="2"/>
  <c r="D26" i="2"/>
  <c r="D14" i="5" s="1"/>
  <c r="Y8" i="5"/>
  <c r="AG29" i="2"/>
  <c r="Z8" i="5"/>
  <c r="AA31" i="5"/>
  <c r="AL23" i="2"/>
  <c r="AK23" i="2"/>
  <c r="H8" i="5"/>
  <c r="H25" i="2"/>
  <c r="H26" i="2"/>
  <c r="H14" i="5" s="1"/>
  <c r="I31" i="5"/>
  <c r="L23" i="2"/>
  <c r="K23" i="2"/>
  <c r="X23" i="2"/>
  <c r="G45" i="6"/>
  <c r="G47" i="6" s="1"/>
  <c r="H24" i="4"/>
  <c r="Q9" i="5"/>
  <c r="U47" i="2"/>
  <c r="U31" i="2"/>
  <c r="Q15" i="5" s="1"/>
  <c r="U30" i="2"/>
  <c r="H31" i="4"/>
  <c r="C76" i="6"/>
  <c r="C82" i="6"/>
  <c r="C84" i="6" s="1"/>
  <c r="AD31" i="2"/>
  <c r="V15" i="5" s="1"/>
  <c r="AD47" i="2"/>
  <c r="D45" i="6"/>
  <c r="D47" i="6" s="1"/>
  <c r="R31" i="2"/>
  <c r="N15" i="5" s="1"/>
  <c r="R47" i="2"/>
  <c r="E24" i="4"/>
  <c r="E31" i="4"/>
  <c r="H45" i="6"/>
  <c r="H47" i="6" s="1"/>
  <c r="R9" i="5"/>
  <c r="I24" i="4"/>
  <c r="V31" i="2"/>
  <c r="V30" i="2"/>
  <c r="V47" i="2"/>
  <c r="I31" i="4"/>
  <c r="M8" i="5"/>
  <c r="Q29" i="2"/>
  <c r="X29" i="2" s="1"/>
  <c r="Q26" i="2"/>
  <c r="Q25" i="2"/>
  <c r="E8" i="5"/>
  <c r="E25" i="2"/>
  <c r="E29" i="2"/>
  <c r="E26" i="2"/>
  <c r="E14" i="5" s="1"/>
  <c r="H44" i="6"/>
  <c r="H50" i="6" s="1"/>
  <c r="G50" i="6"/>
  <c r="Y23" i="2"/>
  <c r="F55" i="6"/>
  <c r="P34" i="5" s="1"/>
  <c r="P35" i="5"/>
  <c r="AF29" i="2"/>
  <c r="X8" i="5"/>
  <c r="AD25" i="2"/>
  <c r="H81" i="6"/>
  <c r="H87" i="6" s="1"/>
  <c r="G87" i="6"/>
  <c r="F66" i="12" l="1"/>
  <c r="I43" i="12"/>
  <c r="E11" i="12"/>
  <c r="F10" i="12"/>
  <c r="H41" i="12"/>
  <c r="C11" i="12"/>
  <c r="I41" i="12"/>
  <c r="F23" i="12"/>
  <c r="D66" i="12"/>
  <c r="E66" i="12"/>
  <c r="V9" i="5"/>
  <c r="E4" i="6"/>
  <c r="P14" i="6" s="1"/>
  <c r="P16" i="6" s="1"/>
  <c r="P30" i="6" s="1"/>
  <c r="F37" i="5" s="1"/>
  <c r="F9" i="5"/>
  <c r="F14" i="4"/>
  <c r="F47" i="2"/>
  <c r="F8" i="4"/>
  <c r="F30" i="2"/>
  <c r="I14" i="5"/>
  <c r="L26" i="2"/>
  <c r="K26" i="2"/>
  <c r="D4" i="6"/>
  <c r="E8" i="4"/>
  <c r="E9" i="5"/>
  <c r="E30" i="2"/>
  <c r="E31" i="2"/>
  <c r="E15" i="5" s="1"/>
  <c r="E47" i="2"/>
  <c r="E14" i="4"/>
  <c r="M14" i="5"/>
  <c r="X26" i="2"/>
  <c r="R15" i="5"/>
  <c r="H4" i="6"/>
  <c r="I8" i="4"/>
  <c r="I9" i="5"/>
  <c r="I30" i="2"/>
  <c r="L29" i="2"/>
  <c r="I14" i="4"/>
  <c r="I31" i="2"/>
  <c r="K29" i="2"/>
  <c r="I47" i="2"/>
  <c r="H55" i="6"/>
  <c r="R34" i="5" s="1"/>
  <c r="R35" i="5"/>
  <c r="E45" i="6"/>
  <c r="E47" i="6" s="1"/>
  <c r="O9" i="5"/>
  <c r="F24" i="4"/>
  <c r="S30" i="2"/>
  <c r="S47" i="2"/>
  <c r="S31" i="2"/>
  <c r="O15" i="5" s="1"/>
  <c r="F31" i="4"/>
  <c r="P9" i="5"/>
  <c r="T30" i="2"/>
  <c r="F4" i="6"/>
  <c r="G9" i="5"/>
  <c r="G8" i="4"/>
  <c r="G47" i="2"/>
  <c r="G30" i="2"/>
  <c r="G31" i="2"/>
  <c r="G15" i="5" s="1"/>
  <c r="G14" i="4"/>
  <c r="D24" i="4"/>
  <c r="M9" i="5"/>
  <c r="C45" i="6"/>
  <c r="C47" i="6" s="1"/>
  <c r="Q47" i="2"/>
  <c r="Q30" i="2"/>
  <c r="Q31" i="2"/>
  <c r="M15" i="5" s="1"/>
  <c r="D31" i="4"/>
  <c r="R30" i="2"/>
  <c r="N9" i="5"/>
  <c r="C92" i="6"/>
  <c r="V34" i="5" s="1"/>
  <c r="V35" i="5"/>
  <c r="G55" i="6"/>
  <c r="Q34" i="5" s="1"/>
  <c r="Q35" i="5"/>
  <c r="C4" i="6"/>
  <c r="D30" i="2"/>
  <c r="D9" i="5"/>
  <c r="D8" i="4"/>
  <c r="D31" i="2"/>
  <c r="D15" i="5" s="1"/>
  <c r="D47" i="2"/>
  <c r="D14" i="4"/>
  <c r="H82" i="6"/>
  <c r="H84" i="6" s="1"/>
  <c r="H76" i="6"/>
  <c r="AA9" i="5"/>
  <c r="AI47" i="2"/>
  <c r="AI30" i="2"/>
  <c r="AL29" i="2"/>
  <c r="AI31" i="2"/>
  <c r="AK29" i="2"/>
  <c r="O88" i="6"/>
  <c r="O90" i="6" s="1"/>
  <c r="O104" i="6" s="1"/>
  <c r="W37" i="5" s="1"/>
  <c r="D78" i="6"/>
  <c r="E82" i="6"/>
  <c r="E84" i="6" s="1"/>
  <c r="E76" i="6"/>
  <c r="X9" i="5"/>
  <c r="AF31" i="2"/>
  <c r="X15" i="5" s="1"/>
  <c r="AF47" i="2"/>
  <c r="AF30" i="2"/>
  <c r="D55" i="6"/>
  <c r="N34" i="5" s="1"/>
  <c r="N35" i="5"/>
  <c r="C78" i="6"/>
  <c r="N88" i="6"/>
  <c r="N90" i="6" s="1"/>
  <c r="N104" i="6" s="1"/>
  <c r="V37" i="5" s="1"/>
  <c r="H8" i="4"/>
  <c r="G4" i="6"/>
  <c r="H14" i="4"/>
  <c r="H9" i="5"/>
  <c r="H30" i="2"/>
  <c r="H47" i="2"/>
  <c r="H31" i="2"/>
  <c r="H15" i="5" s="1"/>
  <c r="F82" i="6"/>
  <c r="F84" i="6" s="1"/>
  <c r="F76" i="6"/>
  <c r="Y9" i="5"/>
  <c r="AG31" i="2"/>
  <c r="Y15" i="5" s="1"/>
  <c r="AG47" i="2"/>
  <c r="AG30" i="2"/>
  <c r="AH30" i="2"/>
  <c r="Z9" i="5"/>
  <c r="O14" i="5"/>
  <c r="Y26" i="2"/>
  <c r="C47" i="2"/>
  <c r="C31" i="2"/>
  <c r="C15" i="5" s="1"/>
  <c r="C8" i="4"/>
  <c r="C14" i="4"/>
  <c r="D92" i="6"/>
  <c r="W34" i="5" s="1"/>
  <c r="W35" i="5"/>
  <c r="AC31" i="2"/>
  <c r="U15" i="5" s="1"/>
  <c r="AC47" i="2"/>
  <c r="F65" i="12" l="1"/>
  <c r="F70" i="12" s="1"/>
  <c r="D65" i="12"/>
  <c r="D70" i="12" s="1"/>
  <c r="F11" i="12"/>
  <c r="E65" i="12"/>
  <c r="E70" i="12" s="1"/>
  <c r="E71" i="12" s="1"/>
  <c r="G48" i="2"/>
  <c r="E6" i="6"/>
  <c r="E48" i="2"/>
  <c r="F48" i="2"/>
  <c r="D48" i="2"/>
  <c r="H48" i="2"/>
  <c r="I48" i="2"/>
  <c r="E10" i="6"/>
  <c r="E12" i="6" s="1"/>
  <c r="F35" i="5" s="1"/>
  <c r="F92" i="6"/>
  <c r="Y34" i="5" s="1"/>
  <c r="Y35" i="5"/>
  <c r="E78" i="6"/>
  <c r="P88" i="6"/>
  <c r="P90" i="6" s="1"/>
  <c r="P104" i="6" s="1"/>
  <c r="X37" i="5" s="1"/>
  <c r="F6" i="6"/>
  <c r="F10" i="6"/>
  <c r="F12" i="6" s="1"/>
  <c r="Q14" i="6"/>
  <c r="Q16" i="6" s="1"/>
  <c r="Q30" i="6" s="1"/>
  <c r="G37" i="5" s="1"/>
  <c r="S14" i="6"/>
  <c r="S16" i="6" s="1"/>
  <c r="S30" i="6" s="1"/>
  <c r="I37" i="5" s="1"/>
  <c r="H6" i="6"/>
  <c r="H10" i="6"/>
  <c r="H12" i="6" s="1"/>
  <c r="O14" i="6"/>
  <c r="O16" i="6" s="1"/>
  <c r="O30" i="6" s="1"/>
  <c r="E37" i="5" s="1"/>
  <c r="D6" i="6"/>
  <c r="D10" i="6"/>
  <c r="D12" i="6" s="1"/>
  <c r="E92" i="6"/>
  <c r="X34" i="5" s="1"/>
  <c r="X35" i="5"/>
  <c r="AA15" i="5"/>
  <c r="AL31" i="2"/>
  <c r="AK31" i="2"/>
  <c r="C55" i="6"/>
  <c r="M34" i="5" s="1"/>
  <c r="M35" i="5"/>
  <c r="E55" i="6"/>
  <c r="O34" i="5" s="1"/>
  <c r="O35" i="5"/>
  <c r="X31" i="2"/>
  <c r="G10" i="6"/>
  <c r="G12" i="6" s="1"/>
  <c r="R14" i="6"/>
  <c r="R16" i="6" s="1"/>
  <c r="R30" i="6" s="1"/>
  <c r="H37" i="5" s="1"/>
  <c r="G6" i="6"/>
  <c r="S88" i="6"/>
  <c r="S90" i="6" s="1"/>
  <c r="S104" i="6" s="1"/>
  <c r="AA37" i="5" s="1"/>
  <c r="H78" i="6"/>
  <c r="C10" i="6"/>
  <c r="C12" i="6" s="1"/>
  <c r="N14" i="6"/>
  <c r="N16" i="6" s="1"/>
  <c r="N30" i="6" s="1"/>
  <c r="D37" i="5" s="1"/>
  <c r="C6" i="6"/>
  <c r="I15" i="5"/>
  <c r="K31" i="2"/>
  <c r="L31" i="2"/>
  <c r="Y31" i="2"/>
  <c r="F78" i="6"/>
  <c r="Q88" i="6"/>
  <c r="Q90" i="6" s="1"/>
  <c r="Q104" i="6" s="1"/>
  <c r="Y37" i="5" s="1"/>
  <c r="H92" i="6"/>
  <c r="AA34" i="5" s="1"/>
  <c r="AA35" i="5"/>
  <c r="D71" i="12" l="1"/>
  <c r="F71" i="12"/>
  <c r="E20" i="6"/>
  <c r="F34" i="5" s="1"/>
  <c r="G20" i="6"/>
  <c r="H34" i="5" s="1"/>
  <c r="H35" i="5"/>
  <c r="H20" i="6"/>
  <c r="I34" i="5" s="1"/>
  <c r="I35" i="5"/>
  <c r="F20" i="6"/>
  <c r="G34" i="5" s="1"/>
  <c r="G35" i="5"/>
  <c r="C20" i="6"/>
  <c r="D34" i="5" s="1"/>
  <c r="D35" i="5"/>
  <c r="D20" i="6"/>
  <c r="E34" i="5" s="1"/>
  <c r="E35" i="5"/>
  <c r="F16" i="11"/>
  <c r="E15" i="11"/>
  <c r="E16" i="11"/>
  <c r="D16" i="11"/>
  <c r="E10" i="11"/>
  <c r="E14" i="11" l="1"/>
  <c r="C27" i="11"/>
  <c r="E13" i="11"/>
  <c r="C26" i="11"/>
  <c r="F9" i="11"/>
  <c r="D24" i="11"/>
  <c r="F13" i="11"/>
  <c r="D26" i="11"/>
  <c r="E9" i="11"/>
  <c r="C24" i="11"/>
  <c r="D27" i="11"/>
  <c r="F14" i="11"/>
  <c r="D9" i="11"/>
  <c r="B24" i="11"/>
  <c r="D13" i="11"/>
  <c r="B26" i="11"/>
  <c r="F12" i="11"/>
  <c r="D25" i="11"/>
  <c r="C25" i="11"/>
  <c r="E12" i="11"/>
  <c r="B25" i="11"/>
  <c r="D12" i="11"/>
  <c r="F10" i="11"/>
  <c r="D10" i="11"/>
  <c r="D11" i="11" l="1"/>
  <c r="B28" i="11"/>
  <c r="D15" i="11"/>
  <c r="C28" i="11" l="1"/>
  <c r="E11" i="11"/>
  <c r="D28" i="11"/>
  <c r="F11" i="11"/>
  <c r="B23" i="11" l="1"/>
  <c r="D7" i="11"/>
  <c r="D6" i="11" l="1"/>
  <c r="B22" i="11"/>
  <c r="D5" i="11"/>
  <c r="B21" i="11"/>
  <c r="F5" i="11"/>
  <c r="D21" i="11"/>
  <c r="D22" i="11"/>
  <c r="F6" i="11"/>
  <c r="C23" i="11"/>
  <c r="E7" i="11"/>
  <c r="F7" i="11"/>
  <c r="D23" i="11"/>
  <c r="C22" i="11" l="1"/>
  <c r="E6" i="11"/>
  <c r="E5" i="11"/>
  <c r="C21" i="11"/>
</calcChain>
</file>

<file path=xl/sharedStrings.xml><?xml version="1.0" encoding="utf-8"?>
<sst xmlns="http://schemas.openxmlformats.org/spreadsheetml/2006/main" count="767" uniqueCount="363">
  <si>
    <t>JSW</t>
  </si>
  <si>
    <t>Profitability Ratios</t>
  </si>
  <si>
    <t>Sales Growth</t>
  </si>
  <si>
    <t>Expenses Growth</t>
  </si>
  <si>
    <t>Gross Profit Growth</t>
  </si>
  <si>
    <t>EBITDA Growth</t>
  </si>
  <si>
    <t>EBIT Growth</t>
  </si>
  <si>
    <t>PBT Growth</t>
  </si>
  <si>
    <t>Net Profit Growth</t>
  </si>
  <si>
    <t>Dividend Growth</t>
  </si>
  <si>
    <t>Dividend Payout</t>
  </si>
  <si>
    <t>Gross Margin</t>
  </si>
  <si>
    <t>Operating Margin</t>
  </si>
  <si>
    <t>PBT Margin</t>
  </si>
  <si>
    <t>Net Margin</t>
  </si>
  <si>
    <t>Efficiency Ratios</t>
  </si>
  <si>
    <t>Debtor Days</t>
  </si>
  <si>
    <t>Debtor Turnover</t>
  </si>
  <si>
    <t>Inventory Days</t>
  </si>
  <si>
    <t>Inventory Turnover</t>
  </si>
  <si>
    <t>Total Asset Turnover</t>
  </si>
  <si>
    <t>Leverage Ratios</t>
  </si>
  <si>
    <t>Debt/Equity</t>
  </si>
  <si>
    <t>Debt/Assets</t>
  </si>
  <si>
    <t>Debt/EBITDA</t>
  </si>
  <si>
    <t>Debt/Capital</t>
  </si>
  <si>
    <t>CFO/Debt</t>
  </si>
  <si>
    <t>Debt Burden</t>
  </si>
  <si>
    <t>Interest Coverage (Times)</t>
  </si>
  <si>
    <t>DuPont Ratio</t>
  </si>
  <si>
    <t>DuPont ROA</t>
  </si>
  <si>
    <t>Net Profit Margin</t>
  </si>
  <si>
    <t>Sales/Average Total Asset</t>
  </si>
  <si>
    <t>Return on Equity</t>
  </si>
  <si>
    <t>Cash Ratios</t>
  </si>
  <si>
    <t>Free Cash Flow (Rs Cr)</t>
  </si>
  <si>
    <t>Operating Cash Flow Growth</t>
  </si>
  <si>
    <t>Free Cash Flow Growth</t>
  </si>
  <si>
    <t>FCF/Sales</t>
  </si>
  <si>
    <t>CFO/Total Assets</t>
  </si>
  <si>
    <t>CFO/Total Debt</t>
  </si>
  <si>
    <t>CFO/Capex</t>
  </si>
  <si>
    <t>Sales/Total Asset</t>
  </si>
  <si>
    <t>Rs Cr</t>
  </si>
  <si>
    <t>5 YEARS</t>
  </si>
  <si>
    <t>3 YEARS</t>
  </si>
  <si>
    <t>TATA</t>
  </si>
  <si>
    <t>JINDAL</t>
  </si>
  <si>
    <t>Sales</t>
  </si>
  <si>
    <t>% Growth YOY</t>
  </si>
  <si>
    <t>Expenses</t>
  </si>
  <si>
    <t>Material Cost (% of Sales)</t>
  </si>
  <si>
    <t>COGS</t>
  </si>
  <si>
    <t>Power and Fuel</t>
  </si>
  <si>
    <t>Other Mfr. Exp</t>
  </si>
  <si>
    <t>Employee Cost</t>
  </si>
  <si>
    <t>Selling and Admin Cost</t>
  </si>
  <si>
    <t>Gross Profit</t>
  </si>
  <si>
    <t>Gross Profit Margin</t>
  </si>
  <si>
    <t>EBITDA</t>
  </si>
  <si>
    <t>EBITDA Margins</t>
  </si>
  <si>
    <t>Other Income</t>
  </si>
  <si>
    <t>Other Income as % of Sales</t>
  </si>
  <si>
    <t>Depreciation</t>
  </si>
  <si>
    <t>EBIT</t>
  </si>
  <si>
    <t>EBIT Margin</t>
  </si>
  <si>
    <t>Interest</t>
  </si>
  <si>
    <t>Interest Coverage(Times)</t>
  </si>
  <si>
    <t>Profit before tax (PBT)</t>
  </si>
  <si>
    <t>Tax</t>
  </si>
  <si>
    <t>Actual Tax Rate</t>
  </si>
  <si>
    <t>Net profit</t>
  </si>
  <si>
    <t>EPS</t>
  </si>
  <si>
    <t>Price to earning</t>
  </si>
  <si>
    <t>Price</t>
  </si>
  <si>
    <t>Market Cap</t>
  </si>
  <si>
    <t xml:space="preserve">No of equity shares </t>
  </si>
  <si>
    <t xml:space="preserve">Earning per share </t>
  </si>
  <si>
    <t xml:space="preserve">EPS growth </t>
  </si>
  <si>
    <t xml:space="preserve">Dividend per share </t>
  </si>
  <si>
    <t xml:space="preserve">Dividend payout ratio </t>
  </si>
  <si>
    <t>Retained Earning (%)</t>
  </si>
  <si>
    <t xml:space="preserve">Retained Earning in ruppes </t>
  </si>
  <si>
    <t>Equity Share Capital</t>
  </si>
  <si>
    <t>Reserves</t>
  </si>
  <si>
    <t>Borrowings</t>
  </si>
  <si>
    <t>Other Liabilities</t>
  </si>
  <si>
    <t>Total Liabilities</t>
  </si>
  <si>
    <t>Net Block</t>
  </si>
  <si>
    <t>Capital Work in Progress</t>
  </si>
  <si>
    <t>Investments</t>
  </si>
  <si>
    <t>Other Assets</t>
  </si>
  <si>
    <t>Total Assets</t>
  </si>
  <si>
    <t>Working Capital</t>
  </si>
  <si>
    <t>Debtors</t>
  </si>
  <si>
    <t>Inventory</t>
  </si>
  <si>
    <t>Cash &amp; Bank</t>
  </si>
  <si>
    <t>Cash from Operating Activity (CFO)</t>
  </si>
  <si>
    <t>% Growth YoY</t>
  </si>
  <si>
    <t>Cash from Investing Activity</t>
  </si>
  <si>
    <t>Cash from Financing Activity</t>
  </si>
  <si>
    <t>Net Cash Flow</t>
  </si>
  <si>
    <t>CFO/Sales</t>
  </si>
  <si>
    <t>CFO/Net Profit</t>
  </si>
  <si>
    <t>CFO/EBITDA</t>
  </si>
  <si>
    <t>Capex</t>
  </si>
  <si>
    <t>FCFF</t>
  </si>
  <si>
    <t>Average FCF (3 Years)</t>
  </si>
  <si>
    <t>FCF Growth YoY</t>
  </si>
  <si>
    <t>FCF/Net Profit</t>
  </si>
  <si>
    <t>RETURN ON ASSETS</t>
  </si>
  <si>
    <t xml:space="preserve">Return on Assets </t>
  </si>
  <si>
    <t xml:space="preserve">NET Profit </t>
  </si>
  <si>
    <t xml:space="preserve">Average total assets </t>
  </si>
  <si>
    <t xml:space="preserve">ROA - DUPONT EQUATION </t>
  </si>
  <si>
    <t xml:space="preserve">Revenue </t>
  </si>
  <si>
    <t xml:space="preserve">NET profit margin (A) </t>
  </si>
  <si>
    <t xml:space="preserve">Net Profit </t>
  </si>
  <si>
    <t>Net Profit Margin (A)</t>
  </si>
  <si>
    <t xml:space="preserve">average total assets </t>
  </si>
  <si>
    <t>Assets turnover ratio (B)</t>
  </si>
  <si>
    <t>Return on assets (A*B)</t>
  </si>
  <si>
    <t xml:space="preserve">Average Total assets </t>
  </si>
  <si>
    <t>Asset turnover ratio (B)</t>
  </si>
  <si>
    <t>Average shareholder equity</t>
  </si>
  <si>
    <t>Equity multiplier  (C)</t>
  </si>
  <si>
    <t>Return on equity (A*B*C)</t>
  </si>
  <si>
    <t xml:space="preserve">Trade payables </t>
  </si>
  <si>
    <t xml:space="preserve">Cash </t>
  </si>
  <si>
    <t xml:space="preserve">using suppliers money </t>
  </si>
  <si>
    <t xml:space="preserve">Effect CFO as well </t>
  </si>
  <si>
    <t xml:space="preserve">29278 other investing activity </t>
  </si>
  <si>
    <t xml:space="preserve">Coal prices 170% increased this leads to cost presure </t>
  </si>
  <si>
    <t>no customer-collection problem,</t>
  </si>
  <si>
    <t xml:space="preserve">It is mainly due to Net profit margin </t>
  </si>
  <si>
    <t xml:space="preserve">Investment sold </t>
  </si>
  <si>
    <t>FCF</t>
  </si>
  <si>
    <t xml:space="preserve">  </t>
  </si>
  <si>
    <t>External sources used for context: JSW Steel FY2024-25 Annual Report; Tata Steel FY2025-26 Annual Report / FY2026 results.</t>
  </si>
  <si>
    <t>• Tata Steel's FY2025-26 annual report provides its latest financial-ratio information and annual-report archive. cite:turn0search40turn0search3</t>
  </si>
  <si>
    <t>• Tata Steel reported FY2025-26 consolidated revenue of ₹2,32,140 crore and EBITDA of ₹34,848 crore, with India production of ~23.4 Mt. cite:turn0search1</t>
  </si>
  <si>
    <t>• JSW Steel's FY2024-25 annual report states domestic steel capacity of 34.2 MTPA and a target of 50 MTPA by FY2030-31. cite:turn0search37</t>
  </si>
  <si>
    <t>• The scenario assumes revenue growth of 7%/5%/6% and production growth of 5%/4%/6% for JSW/Tata/Jindal respectively; EBITDA margin is held at FY2026 actual.</t>
  </si>
  <si>
    <t>• Forward figures are scenario-based estimates only. They should not be read as analyst forecasts or management guidance.</t>
  </si>
  <si>
    <t>• Historical CAGR uses FY2021 as the base and FY2026 as the ending year.</t>
  </si>
  <si>
    <t>• FY2026 actual figures are linked to the existing P&amp;L and Operational_Metrics sheets in this workbook.</t>
  </si>
  <si>
    <t>Interpretation &amp; source notes</t>
  </si>
  <si>
    <t>FY2026 to FY2036</t>
  </si>
  <si>
    <t>10 years</t>
  </si>
  <si>
    <t>Production growth</t>
  </si>
  <si>
    <t>FY2026 to FY2031</t>
  </si>
  <si>
    <t>5 years</t>
  </si>
  <si>
    <t>Revenue growth</t>
  </si>
  <si>
    <t>Jindal Steel</t>
  </si>
  <si>
    <t>Formula / basis</t>
  </si>
  <si>
    <t>Horizon</t>
  </si>
  <si>
    <t>Tata Steel</t>
  </si>
  <si>
    <t>JSW Steel</t>
  </si>
  <si>
    <t>Metric</t>
  </si>
  <si>
    <t>Projected growth summary</t>
  </si>
  <si>
    <t>Revenue</t>
  </si>
  <si>
    <t>Company</t>
  </si>
  <si>
    <t>FY2036</t>
  </si>
  <si>
    <t>FY2031</t>
  </si>
  <si>
    <t>FY2030</t>
  </si>
  <si>
    <t>FY2029</t>
  </si>
  <si>
    <t>FY2028</t>
  </si>
  <si>
    <t>FY2027</t>
  </si>
  <si>
    <t>FY2026</t>
  </si>
  <si>
    <t>Jindal Production</t>
  </si>
  <si>
    <t>Tata Production</t>
  </si>
  <si>
    <t>JSW Production</t>
  </si>
  <si>
    <t>Jindal EBITDA</t>
  </si>
  <si>
    <t>Tata EBITDA</t>
  </si>
  <si>
    <t>JSW EBITDA</t>
  </si>
  <si>
    <t>Jindal Revenue</t>
  </si>
  <si>
    <t>Tata Revenue</t>
  </si>
  <si>
    <t>JSW Revenue</t>
  </si>
  <si>
    <t>Year</t>
  </si>
  <si>
    <t>Forward growth trend – Revenue, EBITDA and crude steel production</t>
  </si>
  <si>
    <t>Held constant for illustrative EBITDA trend</t>
  </si>
  <si>
    <t>FY2026 actual</t>
  </si>
  <si>
    <t>EBITDA Margin</t>
  </si>
  <si>
    <t>Reflects capacity/demand growth scenario</t>
  </si>
  <si>
    <t>Scenario assumption</t>
  </si>
  <si>
    <t>Production CAGR</t>
  </si>
  <si>
    <t>Conservative planning scenario; not management guidance</t>
  </si>
  <si>
    <t>Revenue CAGR</t>
  </si>
  <si>
    <t>Note</t>
  </si>
  <si>
    <t>Basis</t>
  </si>
  <si>
    <t>Assumption</t>
  </si>
  <si>
    <t>Illustrative growth assumptions for forward trend (editable)</t>
  </si>
  <si>
    <t>FY2021 to FY2026</t>
  </si>
  <si>
    <t>Sales Volume CAGR</t>
  </si>
  <si>
    <t>EBITDA CAGR</t>
  </si>
  <si>
    <t>Calculation</t>
  </si>
  <si>
    <t>Period</t>
  </si>
  <si>
    <t>Historical growth trend (FY2021 → FY2026)</t>
  </si>
  <si>
    <t>Value-added product mix</t>
  </si>
  <si>
    <t>%</t>
  </si>
  <si>
    <t>VAP Share</t>
  </si>
  <si>
    <t>Sales volume</t>
  </si>
  <si>
    <t>Mn tonnes</t>
  </si>
  <si>
    <t>Steel Sales Volume</t>
  </si>
  <si>
    <t>Production scale</t>
  </si>
  <si>
    <t>Crude Steel Production</t>
  </si>
  <si>
    <t>Bottom-line earnings</t>
  </si>
  <si>
    <t>₹ crore</t>
  </si>
  <si>
    <t>Net Profit</t>
  </si>
  <si>
    <t>Operating profit after depreciation</t>
  </si>
  <si>
    <t>Operating profitability</t>
  </si>
  <si>
    <t>Operating earnings</t>
  </si>
  <si>
    <t>Scale of operations</t>
  </si>
  <si>
    <t>Revenue / Sales</t>
  </si>
  <si>
    <t>Interpretation</t>
  </si>
  <si>
    <t>Unit</t>
  </si>
  <si>
    <t>FY2026 actual comparison | 5-year historical trend: FY2021–FY2026 | 5-year and 10-year projections are illustrative scenarios, not company guidance</t>
  </si>
  <si>
    <t>JSW Steel vs Tata Steel vs Jindal Steel – Company Comparison &amp; Growth Trends</t>
  </si>
  <si>
    <t>FY2026 debt/equity is comparatively lower at ~0.44x, but CFO/Capex is below 1 at 0.75x and FCF/Sales is 8.4%. CFO growth was negative in FY2026, so recent cash-generation momentum deserves attention.</t>
  </si>
  <si>
    <t>FY2026 CFO is strong relative to capex at 2.66x and CFO/total debt is 0.38x. However, FY2026 net margin is about 4.7% and DuPont ROA about 3.8%; historical profitability has been volatile, including a negative margin in FY2024.</t>
  </si>
  <si>
    <t>FY2026 profitability rebounded strongly: DuPont ROA 10.0%, net margin 13.8% and ROE 28.4%. CFO/Capex is 1.73x and FCF/Sales 12.1%, while leverage remains material at ~0.99x debt/equity.</t>
  </si>
  <si>
    <t>Historical trend notes (FY2021–FY2026)</t>
  </si>
  <si>
    <t>A larger buffer is relevant when steel prices or margins weaken.</t>
  </si>
  <si>
    <t>JSW 2.18x; Tata 1.88x; Jindal 1.87x</t>
  </si>
  <si>
    <t>Interest Coverage</t>
  </si>
  <si>
    <t>Higher conversion leaves more internally generated cash for investors and balance-sheet needs.</t>
  </si>
  <si>
    <t>JSW 12.1%; Tata 9.4%; Jindal 8.4%</t>
  </si>
  <si>
    <t>FCF / Sales</t>
  </si>
  <si>
    <t>Shows whether operating cash can internally fund capital expenditure.</t>
  </si>
  <si>
    <t>JSW 1.73x; Tata 2.66x; Jindal 0.75x</t>
  </si>
  <si>
    <t>CFO / Capex</t>
  </si>
  <si>
    <t>Cash support for debt servicing is important in a cyclical industry.</t>
  </si>
  <si>
    <t>JSW 0.25x; Tata 0.38x; Jindal 0.32x</t>
  </si>
  <si>
    <t>CFO / Total Debt</t>
  </si>
  <si>
    <t>Lower leverage can reduce financial risk, while higher leverage can magnify equity returns.</t>
  </si>
  <si>
    <t>JSW ~0.99x; Tata ~0.90x; Jindal ~0.44x</t>
  </si>
  <si>
    <t>Debt / Equity</t>
  </si>
  <si>
    <t>ROE must be read with equity multiplier and debt.</t>
  </si>
  <si>
    <t>JSW 28.4%, Tata  — corrected formula, Jindal 4.6%</t>
  </si>
  <si>
    <t>DuPont ROE</t>
  </si>
  <si>
    <t>Shows the combined effect of margin and asset use.</t>
  </si>
  <si>
    <t>JSW 10.0%, Tata 3.8%, Jindal 3.7%</t>
  </si>
  <si>
    <t>Profitability differs materially; margin quality matters for earnings resilience.</t>
  </si>
  <si>
    <t>JSW 13.8%, Tata 4.7%, Jindal 6.3%</t>
  </si>
  <si>
    <t>Investor lens</t>
  </si>
  <si>
    <t>What the numbers show</t>
  </si>
  <si>
    <t>FY2026 snapshot</t>
  </si>
  <si>
    <t>Positive and sustained growth is supportive; volatility needs context</t>
  </si>
  <si>
    <t>(Current CFO / Prior CFO) − 1</t>
  </si>
  <si>
    <t>Shows whether the core business is producing increasingly more or less cash over time.</t>
  </si>
  <si>
    <t>Tracks year-on-year change in operating cash generation.</t>
  </si>
  <si>
    <t>Around 1 or above is generally supportive; investigate extreme values</t>
  </si>
  <si>
    <t>Operating Cash Flow / Net Profit</t>
  </si>
  <si>
    <t>Persistent CFO below profit can indicate weaker cash conversion; very high values can also reflect working-capital movements.</t>
  </si>
  <si>
    <t>Tests the relationship between operating cash flow and accounting profit.</t>
  </si>
  <si>
    <t>CFO / Net Profit</t>
  </si>
  <si>
    <t>Higher = stronger cash conversion</t>
  </si>
  <si>
    <t>Free Cash Flow / Revenue</t>
  </si>
  <si>
    <t>Higher conversion can support dividends, debt reduction and reinvestment without relying as heavily on external financing.</t>
  </si>
  <si>
    <t>Shows how much of revenue converts into free cash flow after capex.</t>
  </si>
  <si>
    <t>&gt;1 means CFO covers capex; &lt;1 means funding gap</t>
  </si>
  <si>
    <t>Operating Cash Flow / Capex</t>
  </si>
  <si>
    <t>Important in steel because large recurring capex is required; a ratio above 1 means CFO covers capex.</t>
  </si>
  <si>
    <t>Compares operating cash generation with capital expenditure.</t>
  </si>
  <si>
    <t>Higher = stronger operating cash support for debt</t>
  </si>
  <si>
    <t>Operating Cash Flow / Total Debt</t>
  </si>
  <si>
    <t>Cash, rather than accounting profit, services debt; higher coverage indicates stronger debt-servicing capacity.</t>
  </si>
  <si>
    <t>Compares cash generated from operations with total borrowings.</t>
  </si>
  <si>
    <t>Higher = larger interest-payment buffer</t>
  </si>
  <si>
    <t>EBIT / Interest</t>
  </si>
  <si>
    <t>Low coverage leaves less earnings buffer for interest payments and can increase financial stress in weak steel cycles.</t>
  </si>
  <si>
    <t>Shows how many times EBIT covers interest expense.</t>
  </si>
  <si>
    <t>Lower generally indicates better debt capacity</t>
  </si>
  <si>
    <t>Borrowings / EBITDA</t>
  </si>
  <si>
    <t>Helps investors assess how many years of current EBITDA would be needed to cover debt, as a simplified leverage indicator.</t>
  </si>
  <si>
    <t>Relates debt to operating earnings capacity.</t>
  </si>
  <si>
    <t>Debt / EBITDA</t>
  </si>
  <si>
    <t>Lower generally means lower leverage risk</t>
  </si>
  <si>
    <t>Borrowings / (Share Capital + Reserves)</t>
  </si>
  <si>
    <t>Higher leverage can increase financial risk and interest burden; lower leverage generally provides more balance-sheet headroom.</t>
  </si>
  <si>
    <t>Measures financial leverage relative to shareholders' equity.</t>
  </si>
  <si>
    <t>Higher = greater asset utilisation</t>
  </si>
  <si>
    <t>Revenue / Average Total Assets</t>
  </si>
  <si>
    <t>Higher turnover suggests assets are being used more intensively to generate revenue.</t>
  </si>
  <si>
    <t>Measures sales generated per ₹ of average assets; important in a capital-intensive industry.</t>
  </si>
  <si>
    <t>Higher % can be attractive, but leverage must be checked</t>
  </si>
  <si>
    <t>Net Profit Margin × Asset Turnover × Equity Multiplier</t>
  </si>
  <si>
    <t>Directly relevant to equity investors, but should be read with leverage because debt can magnify ROE.</t>
  </si>
  <si>
    <t>Shows return generated on shareholders' capital and incorporates leverage through the equity multiplier.</t>
  </si>
  <si>
    <t>Return on Equity (DuPont)</t>
  </si>
  <si>
    <t>Higher % indicates stronger asset-level returns</t>
  </si>
  <si>
    <t>Net Profit Margin × Asset Turnover</t>
  </si>
  <si>
    <t>Helps investors judge whether a capital-intensive steel business is earning enough from its large asset base.</t>
  </si>
  <si>
    <t>Shows how effectively total assets generate profit and separates profitability from asset utilisation.</t>
  </si>
  <si>
    <t>Return on Assets (DuPont)</t>
  </si>
  <si>
    <t>Higher % = more profit per ₹ of sales</t>
  </si>
  <si>
    <t>Net Profit / Revenue</t>
  </si>
  <si>
    <t>Higher margin generally means more earnings retained from revenue, supporting dividends, reinvestment and valuation.</t>
  </si>
  <si>
    <t>Measures profit earned from each ₹1 of sales; central to comparing profitability across steel producers.</t>
  </si>
  <si>
    <t>Formula / source</t>
  </si>
  <si>
    <t>Jindal Steel FY2026</t>
  </si>
  <si>
    <t>Tata Steel FY2026</t>
  </si>
  <si>
    <t>JSW Steel FY2026</t>
  </si>
  <si>
    <t>Investor relevance</t>
  </si>
  <si>
    <t>Why this metric is selected</t>
  </si>
  <si>
    <t>Companies: JSW Steel, Tata Steel and Jindal Steel | Latest comparison year: FY2026 | Historical period: FY2021–FY2026</t>
  </si>
  <si>
    <t>STEEL COMPANIES – INVESTOR RATIO &amp; DUPONT COMPARISON</t>
  </si>
  <si>
    <t>• This dashboard is analytical support, not investment advice - consider valuation, capex cycle, commodity price outlook and management guidance before making a decision.</t>
  </si>
  <si>
    <t>• Investment Scorecard: each metric is min-max normalised across the three companies (0 = weakest, 100 = strongest) and combined using the weights in column C, which default to equal weighting (1 each) - increase any weight to reflect your own priorities (e.g. weight ROE and FCF Margin more heavily for a quality-and-cash focus, or Revenue CAGR more heavily for a growth focus).</t>
  </si>
  <si>
    <t>• P/E and Market Cap are shown for reference only and are not scored in the Investment Scorecard, since a higher or lower multiple is not inherently better or worse for an investor.</t>
  </si>
  <si>
    <t>• The CASH FLOW tab's three blocks are labelled 'JSPL', 'TATA STEEL' and 'JINDAL STEEL' but the first block's figures actually correspond to JSW Steel (they match JSW's Free Cash Flow in the RATIOS tab); this dashboard pulls by row position, not by that label, so the figures above are correctly attributed.</t>
  </si>
  <si>
    <t>• Return on Equity = Net Profit / average shareholder equity (opening + closing Equity Share Capital and Reserves), calculated independently on this sheet rather than pulled from the workbook's 'Ratio Dupont' tab, whose Net Profit Margin (A) step is hardcoded to 1 for Tata Steel and overstates that company's ROE there.</t>
  </si>
  <si>
    <t>• Free Cash Flow = Cash from Operating Activity (CFO) less Capex, calculated fresh from the CASH FLOW tab's own CFO and Capex rows for consistency across all three companies.</t>
  </si>
  <si>
    <t>• Every figure on this sheet is a live formula linked to the source tabs (green text) or calculated from them (black text) - refresh the source data and this dashboard updates automatically.</t>
  </si>
  <si>
    <t>• Source: 'Steel_Final_working_for_Prentation' workbook — P&amp;L, BALANCE SHEET, CASH FLOW and RATIOS tabs for JSW Steel, Tata Steel and JSPL (Jindal Steel &amp; Power), FY2020-FY2026 (year ended 31-Mar).</t>
  </si>
  <si>
    <t>NOTES &amp; METHODOLOGY</t>
  </si>
  <si>
    <t>Rank (1 = strongest)</t>
  </si>
  <si>
    <t>Sum of (weight x score) / sum of weights</t>
  </si>
  <si>
    <t>WEIGHTED COMPOSITE SCORE</t>
  </si>
  <si>
    <t>Best of the 3 = 100, worst = 0 (min-max normalised)</t>
  </si>
  <si>
    <t>Debt / Equity (lower is better)</t>
  </si>
  <si>
    <t>FCF Margin</t>
  </si>
  <si>
    <t>Revenue 5-Yr CAGR</t>
  </si>
  <si>
    <t>How the score is built</t>
  </si>
  <si>
    <t>Weight</t>
  </si>
  <si>
    <t>Scoring metric (FY26)</t>
  </si>
  <si>
    <t>3.  INVESTMENT SCORECARD — NORMALISED SCORE OUT OF 100 (FY2026)</t>
  </si>
  <si>
    <t>JSPL</t>
  </si>
  <si>
    <t>Debt / Equity (x)</t>
  </si>
  <si>
    <t>Return on Equity (%)</t>
  </si>
  <si>
    <t>Net Profit Margin (%)</t>
  </si>
  <si>
    <t>EBITDA Margin (%)</t>
  </si>
  <si>
    <t>Revenue (Rs Cr)</t>
  </si>
  <si>
    <t>FY2025</t>
  </si>
  <si>
    <t>FY2024</t>
  </si>
  <si>
    <t>FY2023</t>
  </si>
  <si>
    <t>FY2022</t>
  </si>
  <si>
    <t>FY2021</t>
  </si>
  <si>
    <t>FY2020</t>
  </si>
  <si>
    <t>Fiscal Year (ended 31-Mar)</t>
  </si>
  <si>
    <t>2.  7-YEAR TRENDS (FY2020-FY2026) — DATA BEHIND THE CHARTS</t>
  </si>
  <si>
    <t>Net Profit / average shareholder equity — computed independently of the workbook's Ratio Dupont tab.</t>
  </si>
  <si>
    <t>Return on Equity (ROE)</t>
  </si>
  <si>
    <t>Interest Coverage (EBIT/Interest)</t>
  </si>
  <si>
    <t>n/a</t>
  </si>
  <si>
    <t>Total Equity (Share Cap + Reserves)</t>
  </si>
  <si>
    <t>Absolute debt — compare via Debt/Equity below, not this row alone.</t>
  </si>
  <si>
    <t>Total Debt (Borrowings)</t>
  </si>
  <si>
    <t>FCF Margin (FCF/Sales)</t>
  </si>
  <si>
    <t>Free Cash Flow (CFO - Capex)</t>
  </si>
  <si>
    <t>Investment intensity, for reference only.</t>
  </si>
  <si>
    <t>Cash from Operations (CFO)</t>
  </si>
  <si>
    <t>Company size, for reference only.</t>
  </si>
  <si>
    <t>Valuation multiple — not scored; lower can mean cheaper OR weaker growth outlook.</t>
  </si>
  <si>
    <t>P/E (trailing, x)</t>
  </si>
  <si>
    <t>EPS (Rs)</t>
  </si>
  <si>
    <t>Revenue 5-Yr CAGR (FY21-FY26)</t>
  </si>
  <si>
    <t>Investor read</t>
  </si>
  <si>
    <t>Leader</t>
  </si>
  <si>
    <t>JSPL (Jindal)</t>
  </si>
  <si>
    <t>1.  FY2026 SNAPSHOT — KEY FINANCIALS</t>
  </si>
  <si>
    <t>JSW Steel  |  Tata Steel  |  JSPL (Jindal Steel &amp; Power)   —   FY2020 to FY2026 (Year ended 31-Mar)  |  All figures in Rs Cr unless stated</t>
  </si>
  <si>
    <t>STEEL SECTOR INVESTOR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</si>
</sst>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_ * #,##0_ ;_ * \-#,##0_ ;_ * &quot;-&quot;??_ ;_ @_ "/>
    <numFmt numFmtId="166" formatCode="[$-409]mmm\-yy;@"/>
    <numFmt numFmtId="167" formatCode="0.0%"/>
    <numFmt numFmtId="168" formatCode="_ * #,##0.0_ ;_ * \-#,##0.0_ ;_ * &quot;-&quot;??_ ;_ @_ "/>
    <numFmt numFmtId="169" formatCode="0.000"/>
    <numFmt numFmtId="170" formatCode="0.00&quot;x&quot;"/>
    <numFmt numFmtId="171" formatCode="0.0"/>
    <numFmt numFmtId="172" formatCode="#,##0.0"/>
    <numFmt numFmtId="173" formatCode="0.00\x"/>
    <numFmt numFmtId="174" formatCode="#,##0;\(#,##0\);\-"/>
    <numFmt numFmtId="175" formatCode="0.0%;\(0.0%\);\-"/>
    <numFmt numFmtId="176" formatCode="0.0&quot; days&quot;"/>
  </numFmts>
  <fonts count="43" x14ac:knownFonts="1">
    <font>
      <sz val="11"/>
      <color theme="1"/>
      <name val="Calibri"/>
      <family val="2"/>
    </font>
    <font>
      <sz val="11"/>
      <color theme="1"/>
      <name val="Calibri"/>
      <family val="2"/>
    </font>
    <font>
      <b/>
      <sz val="12"/>
      <color theme="1"/>
      <name val="Calibri Light"/>
      <family val="2"/>
    </font>
    <font>
      <i/>
      <sz val="12"/>
      <color rgb="FF0000FF"/>
      <name val="Calibri Light"/>
      <family val="2"/>
    </font>
    <font>
      <sz val="12"/>
      <color theme="1"/>
      <name val="Calibri Light"/>
      <family val="2"/>
    </font>
    <font>
      <i/>
      <sz val="12"/>
      <color theme="1"/>
      <name val="Calibri Light"/>
      <family val="2"/>
    </font>
    <font>
      <b/>
      <sz val="12"/>
      <color theme="0"/>
      <name val="Calibri"/>
      <family val="2"/>
      <scheme val="minor"/>
    </font>
    <font>
      <sz val="12"/>
      <color theme="1"/>
      <name val="Calibri"/>
      <family val="2"/>
      <scheme val="minor"/>
    </font>
    <font>
      <b/>
      <sz val="12"/>
      <color theme="1"/>
      <name val="Calibri"/>
      <family val="2"/>
      <scheme val="minor"/>
    </font>
    <font>
      <sz val="12"/>
      <color theme="1"/>
      <name val="Arial"/>
      <family val="2"/>
    </font>
    <font>
      <b/>
      <sz val="12"/>
      <color theme="0"/>
      <name val="Calibri Light"/>
      <family val="2"/>
    </font>
    <font>
      <i/>
      <sz val="12"/>
      <color rgb="FF0000FF"/>
      <name val="Calibri"/>
      <family val="2"/>
      <scheme val="minor"/>
    </font>
    <font>
      <sz val="12"/>
      <name val="Calibri"/>
      <family val="2"/>
      <scheme val="minor"/>
    </font>
    <font>
      <i/>
      <sz val="11"/>
      <color theme="4"/>
      <name val="Calibri"/>
      <family val="2"/>
      <scheme val="minor"/>
    </font>
    <font>
      <sz val="11"/>
      <color theme="1"/>
      <name val="Calibri"/>
      <family val="2"/>
      <scheme val="minor"/>
    </font>
    <font>
      <b/>
      <sz val="11"/>
      <color theme="0"/>
      <name val="Calibri"/>
      <family val="2"/>
    </font>
    <font>
      <b/>
      <sz val="11"/>
      <name val="Calibri"/>
      <family val="2"/>
    </font>
    <font>
      <b/>
      <sz val="11"/>
      <color theme="1"/>
      <name val="Calibri"/>
      <family val="2"/>
    </font>
    <font>
      <i/>
      <sz val="12"/>
      <color theme="1"/>
      <name val="Calibri"/>
      <family val="2"/>
      <scheme val="minor"/>
    </font>
    <font>
      <sz val="14"/>
      <color theme="1"/>
      <name val="Calibri"/>
      <family val="2"/>
    </font>
    <font>
      <b/>
      <sz val="14"/>
      <color theme="0"/>
      <name val="Calibri"/>
      <family val="2"/>
    </font>
    <font>
      <b/>
      <sz val="14"/>
      <color theme="1"/>
      <name val="Calibri"/>
      <family val="2"/>
    </font>
    <font>
      <b/>
      <sz val="11"/>
      <color rgb="FFFFFFFF"/>
      <name val="Calibri"/>
      <family val="2"/>
    </font>
    <font>
      <sz val="11"/>
      <color theme="1"/>
      <name val="Calibri"/>
      <family val="2"/>
      <charset val="1"/>
    </font>
    <font>
      <i/>
      <sz val="9"/>
      <color rgb="FF666666"/>
      <name val="Calibri"/>
      <family val="2"/>
    </font>
    <font>
      <i/>
      <sz val="10"/>
      <color rgb="FF404040"/>
      <name val="Calibri"/>
      <family val="2"/>
    </font>
    <font>
      <b/>
      <sz val="16"/>
      <color rgb="FFFFFFFF"/>
      <name val="Calibri"/>
      <family val="2"/>
    </font>
    <font>
      <b/>
      <sz val="11"/>
      <name val="Cambria"/>
      <family val="1"/>
    </font>
    <font>
      <b/>
      <sz val="13"/>
      <color rgb="FFFFFFFF"/>
      <name val="Cambria"/>
      <family val="1"/>
    </font>
    <font>
      <b/>
      <sz val="11"/>
      <color rgb="FFFFFFFF"/>
      <name val="Cambria"/>
      <family val="1"/>
    </font>
    <font>
      <i/>
      <sz val="11"/>
      <color rgb="FF666666"/>
      <name val="Cambria"/>
      <family val="1"/>
    </font>
    <font>
      <b/>
      <sz val="16"/>
      <color rgb="FFFFFFFF"/>
      <name val="Cambria"/>
      <family val="1"/>
    </font>
    <font>
      <i/>
      <sz val="9"/>
      <color rgb="FF595959"/>
      <name val="Arial"/>
      <family val="2"/>
    </font>
    <font>
      <b/>
      <sz val="12"/>
      <color rgb="FFFFFFFF"/>
      <name val="Arial"/>
      <family val="2"/>
    </font>
    <font>
      <sz val="10"/>
      <color rgb="FF000000"/>
      <name val="Arial"/>
      <family val="2"/>
    </font>
    <font>
      <b/>
      <sz val="10"/>
      <name val="Arial"/>
      <family val="2"/>
    </font>
    <font>
      <i/>
      <sz val="9"/>
      <color rgb="FFFFFFFF"/>
      <name val="Arial"/>
      <family val="2"/>
    </font>
    <font>
      <b/>
      <sz val="10"/>
      <color rgb="FFFFFFFF"/>
      <name val="Arial"/>
      <family val="2"/>
    </font>
    <font>
      <sz val="10"/>
      <color rgb="FF0000FF"/>
      <name val="Arial"/>
      <family val="2"/>
    </font>
    <font>
      <sz val="10"/>
      <name val="Arial"/>
      <family val="2"/>
    </font>
    <font>
      <sz val="10"/>
      <color rgb="FF008000"/>
      <name val="Arial"/>
      <family val="2"/>
    </font>
    <font>
      <i/>
      <sz val="10"/>
      <color rgb="FFFFFFFF"/>
      <name val="Arial"/>
      <family val="2"/>
    </font>
    <font>
      <b/>
      <sz val="16"/>
      <color rgb="FFFFFFFF"/>
      <name val="Arial"/>
      <family val="2"/>
    </font>
  </fonts>
  <fills count="2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499984740745262"/>
        <bgColor indexed="64"/>
      </patternFill>
    </fill>
    <fill>
      <patternFill patternType="solid">
        <fgColor theme="4"/>
        <bgColor indexed="64"/>
      </patternFill>
    </fill>
    <fill>
      <patternFill patternType="solid">
        <fgColor rgb="FFFF0000"/>
        <bgColor indexed="64"/>
      </patternFill>
    </fill>
    <fill>
      <patternFill patternType="solid">
        <fgColor rgb="FFFFEEEE"/>
        <bgColor indexed="64"/>
      </patternFill>
    </fill>
    <fill>
      <patternFill patternType="solid">
        <fgColor theme="9"/>
        <bgColor indexed="64"/>
      </patternFill>
    </fill>
    <fill>
      <patternFill patternType="solid">
        <fgColor rgb="FF1F4E78"/>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theme="4" tint="0.79998168889431442"/>
        <bgColor indexed="64"/>
      </patternFill>
    </fill>
    <fill>
      <patternFill patternType="solid">
        <fgColor rgb="FFFFF2CC"/>
      </patternFill>
    </fill>
    <fill>
      <patternFill patternType="solid">
        <fgColor rgb="FFFFFFFF"/>
      </patternFill>
    </fill>
    <fill>
      <patternFill patternType="solid">
        <fgColor rgb="FFEAF3F8"/>
      </patternFill>
    </fill>
    <fill>
      <patternFill patternType="solid">
        <fgColor rgb="FF1F4E78"/>
        <bgColor rgb="FF203864"/>
      </patternFill>
    </fill>
    <fill>
      <patternFill patternType="solid">
        <fgColor rgb="FF2E5395"/>
        <bgColor rgb="FF203864"/>
      </patternFill>
    </fill>
    <fill>
      <patternFill patternType="solid">
        <fgColor rgb="FF4472C4"/>
        <bgColor rgb="FF2E5395"/>
      </patternFill>
    </fill>
    <fill>
      <patternFill patternType="solid">
        <fgColor rgb="FFD9E2F3"/>
        <bgColor rgb="FFD9D9D9"/>
      </patternFill>
    </fill>
    <fill>
      <patternFill patternType="solid">
        <fgColor rgb="FF1F3864"/>
        <bgColor rgb="FF203864"/>
      </patternFill>
    </fill>
  </fills>
  <borders count="10">
    <border>
      <left/>
      <right/>
      <top/>
      <bottom/>
      <diagonal/>
    </border>
    <border>
      <left/>
      <right/>
      <top style="hair">
        <color auto="1"/>
      </top>
      <bottom style="hair">
        <color auto="1"/>
      </bottom>
      <diagonal/>
    </border>
    <border>
      <left/>
      <right/>
      <top style="hair">
        <color auto="1"/>
      </top>
      <bottom/>
      <diagonal/>
    </border>
    <border>
      <left/>
      <right/>
      <top style="thin">
        <color indexed="64"/>
      </top>
      <bottom style="thin">
        <color indexed="64"/>
      </bottom>
      <diagonal/>
    </border>
    <border>
      <left/>
      <right/>
      <top/>
      <bottom style="hair">
        <color auto="1"/>
      </bottom>
      <diagonal/>
    </border>
    <border>
      <left/>
      <right/>
      <top style="thin">
        <color auto="1"/>
      </top>
      <bottom/>
      <diagonal/>
    </border>
    <border>
      <left style="thin">
        <color rgb="FFB7C9D6"/>
      </left>
      <right style="thin">
        <color rgb="FFB7C9D6"/>
      </right>
      <top style="thin">
        <color rgb="FFB7C9D6"/>
      </top>
      <bottom style="thin">
        <color rgb="FFB7C9D6"/>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4">
    <xf numFmtId="0" fontId="0" fillId="0" borderId="0"/>
    <xf numFmtId="164" fontId="1" fillId="0" borderId="0"/>
    <xf numFmtId="9" fontId="1" fillId="0" borderId="0"/>
    <xf numFmtId="0" fontId="23" fillId="0" borderId="0"/>
  </cellStyleXfs>
  <cellXfs count="227">
    <xf numFmtId="0" fontId="0" fillId="0" borderId="0" xfId="0"/>
    <xf numFmtId="0" fontId="2" fillId="0" borderId="1" xfId="0" applyFont="1" applyBorder="1"/>
    <xf numFmtId="165" fontId="2" fillId="0" borderId="1" xfId="1" applyNumberFormat="1" applyFont="1" applyBorder="1"/>
    <xf numFmtId="0" fontId="3" fillId="0" borderId="1" xfId="0" applyFont="1" applyBorder="1"/>
    <xf numFmtId="9" fontId="3" fillId="0" borderId="1" xfId="2" applyFont="1" applyBorder="1"/>
    <xf numFmtId="0" fontId="4" fillId="0" borderId="1" xfId="0" applyFont="1" applyBorder="1"/>
    <xf numFmtId="165" fontId="4" fillId="0" borderId="1" xfId="1" applyNumberFormat="1" applyFont="1" applyBorder="1"/>
    <xf numFmtId="9" fontId="5" fillId="0" borderId="1" xfId="2" applyFont="1" applyBorder="1"/>
    <xf numFmtId="9" fontId="5" fillId="0" borderId="2" xfId="2" applyFont="1" applyBorder="1"/>
    <xf numFmtId="0" fontId="2" fillId="0" borderId="3" xfId="0" applyFont="1" applyBorder="1"/>
    <xf numFmtId="165" fontId="2" fillId="0" borderId="3" xfId="1" applyNumberFormat="1" applyFont="1" applyBorder="1"/>
    <xf numFmtId="0" fontId="3" fillId="0" borderId="0" xfId="0" applyFont="1" applyAlignment="1">
      <alignment vertical="top"/>
    </xf>
    <xf numFmtId="9" fontId="3" fillId="0" borderId="0" xfId="2" applyFont="1" applyAlignment="1">
      <alignment vertical="top"/>
    </xf>
    <xf numFmtId="0" fontId="3" fillId="0" borderId="4" xfId="0" applyFont="1" applyBorder="1"/>
    <xf numFmtId="9" fontId="3" fillId="0" borderId="4" xfId="2" applyFont="1" applyBorder="1"/>
    <xf numFmtId="0" fontId="5" fillId="0" borderId="1" xfId="0" applyFont="1" applyBorder="1"/>
    <xf numFmtId="165" fontId="5" fillId="0" borderId="1" xfId="1" applyNumberFormat="1" applyFont="1" applyBorder="1"/>
    <xf numFmtId="0" fontId="4" fillId="0" borderId="2" xfId="0" applyFont="1" applyBorder="1"/>
    <xf numFmtId="0" fontId="6" fillId="2" borderId="0" xfId="0" applyFont="1" applyFill="1"/>
    <xf numFmtId="0" fontId="7" fillId="0" borderId="4" xfId="0" applyFont="1" applyBorder="1"/>
    <xf numFmtId="165" fontId="7" fillId="0" borderId="4" xfId="1" applyNumberFormat="1" applyFont="1" applyBorder="1" applyAlignment="1">
      <alignment horizontal="center"/>
    </xf>
    <xf numFmtId="0" fontId="7" fillId="0" borderId="1" xfId="0" applyFont="1" applyBorder="1"/>
    <xf numFmtId="165" fontId="7" fillId="0" borderId="1" xfId="1" applyNumberFormat="1" applyFont="1" applyBorder="1" applyAlignment="1">
      <alignment horizontal="center"/>
    </xf>
    <xf numFmtId="0" fontId="7" fillId="0" borderId="2" xfId="0" applyFont="1" applyBorder="1"/>
    <xf numFmtId="165" fontId="7" fillId="0" borderId="2" xfId="1" applyNumberFormat="1" applyFont="1" applyBorder="1" applyAlignment="1">
      <alignment horizontal="center"/>
    </xf>
    <xf numFmtId="0" fontId="8" fillId="0" borderId="3" xfId="0" applyFont="1" applyBorder="1"/>
    <xf numFmtId="165" fontId="8" fillId="0" borderId="3" xfId="1" applyNumberFormat="1" applyFont="1" applyBorder="1" applyAlignment="1">
      <alignment horizontal="center"/>
    </xf>
    <xf numFmtId="0" fontId="8" fillId="0" borderId="0" xfId="0" applyFont="1"/>
    <xf numFmtId="165" fontId="8" fillId="0" borderId="0" xfId="1" applyNumberFormat="1" applyFont="1" applyAlignment="1">
      <alignment horizontal="center"/>
    </xf>
    <xf numFmtId="165" fontId="7" fillId="0" borderId="0" xfId="1" applyNumberFormat="1" applyFont="1"/>
    <xf numFmtId="165" fontId="7" fillId="0" borderId="1" xfId="1" applyNumberFormat="1" applyFont="1" applyBorder="1"/>
    <xf numFmtId="9" fontId="7" fillId="0" borderId="0" xfId="2" applyFont="1"/>
    <xf numFmtId="0" fontId="7" fillId="3" borderId="0" xfId="0" applyFont="1" applyFill="1"/>
    <xf numFmtId="0" fontId="9" fillId="0" borderId="0" xfId="0" applyFont="1"/>
    <xf numFmtId="165" fontId="8" fillId="0" borderId="0" xfId="1" applyNumberFormat="1" applyFont="1" applyAlignment="1">
      <alignment horizontal="right"/>
    </xf>
    <xf numFmtId="0" fontId="11" fillId="0" borderId="0" xfId="0" applyFont="1"/>
    <xf numFmtId="9" fontId="11" fillId="0" borderId="0" xfId="2" applyFont="1" applyAlignment="1">
      <alignment horizontal="right"/>
    </xf>
    <xf numFmtId="165" fontId="7" fillId="0" borderId="0" xfId="1" applyNumberFormat="1" applyFont="1" applyAlignment="1">
      <alignment horizontal="right"/>
    </xf>
    <xf numFmtId="0" fontId="12" fillId="0" borderId="0" xfId="0" applyFont="1"/>
    <xf numFmtId="165" fontId="12" fillId="4" borderId="0" xfId="1" applyNumberFormat="1" applyFont="1" applyFill="1" applyAlignment="1">
      <alignment horizontal="right"/>
    </xf>
    <xf numFmtId="0" fontId="7" fillId="0" borderId="0" xfId="0" applyFont="1" applyAlignment="1">
      <alignment vertical="top"/>
    </xf>
    <xf numFmtId="0" fontId="8" fillId="3" borderId="0" xfId="0" applyFont="1" applyFill="1"/>
    <xf numFmtId="0" fontId="10" fillId="2" borderId="0" xfId="0" applyFont="1" applyFill="1"/>
    <xf numFmtId="165" fontId="4" fillId="0" borderId="0" xfId="1" applyNumberFormat="1" applyFont="1"/>
    <xf numFmtId="9" fontId="3" fillId="0" borderId="0" xfId="2" applyFont="1"/>
    <xf numFmtId="165" fontId="5" fillId="0" borderId="0" xfId="1" applyNumberFormat="1" applyFont="1"/>
    <xf numFmtId="0" fontId="7" fillId="0" borderId="0" xfId="0" applyFont="1"/>
    <xf numFmtId="0" fontId="0" fillId="5" borderId="0" xfId="0" applyFill="1"/>
    <xf numFmtId="0" fontId="0" fillId="6" borderId="0" xfId="0" applyFill="1"/>
    <xf numFmtId="9" fontId="1" fillId="0" borderId="0" xfId="2"/>
    <xf numFmtId="3" fontId="0" fillId="0" borderId="0" xfId="0" applyNumberFormat="1"/>
    <xf numFmtId="0" fontId="13" fillId="0" borderId="0" xfId="0" applyFont="1"/>
    <xf numFmtId="9" fontId="0" fillId="0" borderId="0" xfId="0" applyNumberFormat="1"/>
    <xf numFmtId="1" fontId="5" fillId="0" borderId="1" xfId="2" applyNumberFormat="1" applyFont="1" applyBorder="1"/>
    <xf numFmtId="0" fontId="14" fillId="0" borderId="0" xfId="0" applyFont="1"/>
    <xf numFmtId="0" fontId="2" fillId="0" borderId="0" xfId="0" applyFont="1"/>
    <xf numFmtId="165" fontId="2" fillId="0" borderId="0" xfId="1" applyNumberFormat="1" applyFont="1"/>
    <xf numFmtId="0" fontId="15" fillId="7" borderId="0" xfId="0" applyFont="1" applyFill="1"/>
    <xf numFmtId="166" fontId="10" fillId="2" borderId="0" xfId="0" applyNumberFormat="1" applyFont="1" applyFill="1" applyAlignment="1">
      <alignment horizontal="center"/>
    </xf>
    <xf numFmtId="167" fontId="10" fillId="0" borderId="0" xfId="0" applyNumberFormat="1" applyFont="1" applyAlignment="1">
      <alignment horizontal="center"/>
    </xf>
    <xf numFmtId="167" fontId="4" fillId="0" borderId="1" xfId="0" applyNumberFormat="1" applyFont="1" applyBorder="1"/>
    <xf numFmtId="167" fontId="5" fillId="0" borderId="0" xfId="2" applyNumberFormat="1" applyFont="1"/>
    <xf numFmtId="167" fontId="4" fillId="0" borderId="2" xfId="0" applyNumberFormat="1" applyFont="1" applyBorder="1"/>
    <xf numFmtId="167" fontId="2" fillId="0" borderId="0" xfId="1" applyNumberFormat="1" applyFont="1"/>
    <xf numFmtId="167" fontId="4" fillId="0" borderId="3" xfId="0" applyNumberFormat="1" applyFont="1" applyBorder="1"/>
    <xf numFmtId="167" fontId="4" fillId="0" borderId="0" xfId="0" applyNumberFormat="1" applyFont="1" applyAlignment="1">
      <alignment vertical="top"/>
    </xf>
    <xf numFmtId="167" fontId="5" fillId="0" borderId="0" xfId="2" applyNumberFormat="1" applyFont="1" applyAlignment="1">
      <alignment vertical="top"/>
    </xf>
    <xf numFmtId="167" fontId="4" fillId="0" borderId="4" xfId="0" applyNumberFormat="1" applyFont="1" applyBorder="1"/>
    <xf numFmtId="167" fontId="3" fillId="0" borderId="1" xfId="1" applyNumberFormat="1" applyFont="1" applyBorder="1"/>
    <xf numFmtId="167" fontId="3" fillId="0" borderId="0" xfId="1" applyNumberFormat="1" applyFont="1"/>
    <xf numFmtId="167" fontId="4" fillId="0" borderId="2" xfId="1" applyNumberFormat="1" applyFont="1" applyBorder="1"/>
    <xf numFmtId="167" fontId="4" fillId="0" borderId="0" xfId="1" applyNumberFormat="1" applyFont="1"/>
    <xf numFmtId="167" fontId="3" fillId="0" borderId="0" xfId="2" applyNumberFormat="1" applyFont="1"/>
    <xf numFmtId="167" fontId="0" fillId="0" borderId="0" xfId="0" applyNumberFormat="1"/>
    <xf numFmtId="166" fontId="6" fillId="2" borderId="0" xfId="0" applyNumberFormat="1" applyFont="1" applyFill="1" applyAlignment="1">
      <alignment horizontal="center"/>
    </xf>
    <xf numFmtId="167" fontId="0" fillId="0" borderId="0" xfId="2" applyNumberFormat="1" applyFont="1"/>
    <xf numFmtId="167" fontId="7" fillId="0" borderId="0" xfId="2" applyNumberFormat="1" applyFont="1" applyAlignment="1">
      <alignment horizontal="right"/>
    </xf>
    <xf numFmtId="166" fontId="6" fillId="2" borderId="0" xfId="0" applyNumberFormat="1" applyFont="1" applyFill="1"/>
    <xf numFmtId="167" fontId="7" fillId="0" borderId="0" xfId="2" applyNumberFormat="1" applyFont="1"/>
    <xf numFmtId="167" fontId="7" fillId="0" borderId="0" xfId="2" applyNumberFormat="1" applyFont="1" applyAlignment="1">
      <alignment vertical="top"/>
    </xf>
    <xf numFmtId="165" fontId="7" fillId="0" borderId="0" xfId="0" applyNumberFormat="1" applyFont="1" applyAlignment="1">
      <alignment horizontal="right"/>
    </xf>
    <xf numFmtId="0" fontId="19" fillId="8" borderId="0" xfId="0" applyFont="1" applyFill="1"/>
    <xf numFmtId="1" fontId="20" fillId="8" borderId="0" xfId="0" applyNumberFormat="1" applyFont="1" applyFill="1"/>
    <xf numFmtId="1" fontId="19" fillId="8" borderId="0" xfId="0" applyNumberFormat="1" applyFont="1" applyFill="1"/>
    <xf numFmtId="1" fontId="21" fillId="3" borderId="5" xfId="0" applyNumberFormat="1" applyFont="1" applyFill="1" applyBorder="1"/>
    <xf numFmtId="0" fontId="19" fillId="0" borderId="0" xfId="0" applyFont="1"/>
    <xf numFmtId="1" fontId="19" fillId="0" borderId="0" xfId="0" applyNumberFormat="1" applyFont="1"/>
    <xf numFmtId="0" fontId="21" fillId="9" borderId="0" xfId="0" applyFont="1" applyFill="1"/>
    <xf numFmtId="0" fontId="21" fillId="0" borderId="0" xfId="0" applyFont="1"/>
    <xf numFmtId="9" fontId="21" fillId="0" borderId="0" xfId="2" applyFont="1"/>
    <xf numFmtId="9" fontId="21" fillId="9" borderId="0" xfId="2" applyFont="1" applyFill="1"/>
    <xf numFmtId="10" fontId="21" fillId="0" borderId="0" xfId="2" applyNumberFormat="1" applyFont="1"/>
    <xf numFmtId="9" fontId="7" fillId="0" borderId="0" xfId="2" applyFont="1" applyAlignment="1">
      <alignment vertical="top"/>
    </xf>
    <xf numFmtId="3" fontId="19" fillId="0" borderId="0" xfId="0" applyNumberFormat="1" applyFont="1"/>
    <xf numFmtId="0" fontId="17" fillId="0" borderId="0" xfId="0" applyFont="1"/>
    <xf numFmtId="0" fontId="17" fillId="10" borderId="0" xfId="0" applyFont="1" applyFill="1"/>
    <xf numFmtId="0" fontId="0" fillId="10" borderId="0" xfId="0" applyFill="1"/>
    <xf numFmtId="165" fontId="0" fillId="0" borderId="0" xfId="0" applyNumberFormat="1"/>
    <xf numFmtId="164" fontId="5" fillId="0" borderId="1" xfId="1" applyFont="1" applyBorder="1" applyAlignment="1">
      <alignment horizontal="left" indent="1"/>
    </xf>
    <xf numFmtId="164" fontId="5" fillId="0" borderId="2" xfId="1" applyFont="1" applyBorder="1" applyAlignment="1">
      <alignment horizontal="left" indent="1"/>
    </xf>
    <xf numFmtId="164" fontId="5" fillId="0" borderId="1" xfId="1" applyFont="1" applyBorder="1"/>
    <xf numFmtId="168" fontId="4" fillId="0" borderId="1" xfId="1" applyNumberFormat="1" applyFont="1" applyBorder="1"/>
    <xf numFmtId="168" fontId="4" fillId="0" borderId="0" xfId="1" applyNumberFormat="1" applyFont="1"/>
    <xf numFmtId="168" fontId="4" fillId="0" borderId="2" xfId="1" applyNumberFormat="1" applyFont="1" applyBorder="1"/>
    <xf numFmtId="168" fontId="0" fillId="0" borderId="0" xfId="0" applyNumberFormat="1"/>
    <xf numFmtId="164" fontId="0" fillId="0" borderId="0" xfId="0" applyNumberFormat="1"/>
    <xf numFmtId="169" fontId="0" fillId="0" borderId="0" xfId="0" applyNumberFormat="1"/>
    <xf numFmtId="164" fontId="18" fillId="0" borderId="0" xfId="1" applyFont="1" applyAlignment="1">
      <alignment vertical="top"/>
    </xf>
    <xf numFmtId="164" fontId="7" fillId="0" borderId="0" xfId="1" applyFont="1" applyAlignment="1">
      <alignment vertical="top"/>
    </xf>
    <xf numFmtId="168" fontId="7" fillId="0" borderId="0" xfId="1" applyNumberFormat="1" applyFont="1" applyAlignment="1">
      <alignment vertical="top"/>
    </xf>
    <xf numFmtId="164" fontId="7" fillId="0" borderId="0" xfId="1" applyFont="1"/>
    <xf numFmtId="170" fontId="21" fillId="9" borderId="0" xfId="0" applyNumberFormat="1" applyFont="1" applyFill="1"/>
    <xf numFmtId="170" fontId="21" fillId="9" borderId="0" xfId="2" applyNumberFormat="1" applyFont="1" applyFill="1"/>
    <xf numFmtId="171" fontId="19" fillId="0" borderId="0" xfId="0" applyNumberFormat="1" applyFont="1"/>
    <xf numFmtId="165" fontId="4" fillId="12" borderId="1" xfId="1" applyNumberFormat="1" applyFont="1" applyFill="1" applyBorder="1"/>
    <xf numFmtId="167" fontId="3" fillId="13" borderId="1" xfId="1" applyNumberFormat="1" applyFont="1" applyFill="1" applyBorder="1"/>
    <xf numFmtId="165" fontId="4" fillId="13" borderId="1" xfId="1" applyNumberFormat="1" applyFont="1" applyFill="1" applyBorder="1"/>
    <xf numFmtId="167" fontId="4" fillId="0" borderId="0" xfId="0" applyNumberFormat="1" applyFont="1"/>
    <xf numFmtId="9" fontId="7" fillId="0" borderId="0" xfId="0" applyNumberFormat="1" applyFont="1" applyAlignment="1">
      <alignment vertical="top"/>
    </xf>
    <xf numFmtId="9" fontId="1" fillId="14" borderId="0" xfId="2" applyFill="1"/>
    <xf numFmtId="9" fontId="3" fillId="14" borderId="1" xfId="2" applyFont="1" applyFill="1" applyBorder="1"/>
    <xf numFmtId="165" fontId="4" fillId="14" borderId="1" xfId="1" applyNumberFormat="1" applyFont="1" applyFill="1" applyBorder="1"/>
    <xf numFmtId="9" fontId="3" fillId="5" borderId="1" xfId="2" applyFont="1" applyFill="1" applyBorder="1"/>
    <xf numFmtId="165" fontId="2" fillId="5" borderId="3" xfId="1" applyNumberFormat="1" applyFont="1" applyFill="1" applyBorder="1"/>
    <xf numFmtId="165" fontId="4" fillId="5" borderId="1" xfId="1" applyNumberFormat="1" applyFont="1" applyFill="1" applyBorder="1"/>
    <xf numFmtId="9" fontId="3" fillId="5" borderId="4" xfId="2" applyFont="1" applyFill="1" applyBorder="1"/>
    <xf numFmtId="164" fontId="5" fillId="5" borderId="1" xfId="1" applyFont="1" applyFill="1" applyBorder="1"/>
    <xf numFmtId="165" fontId="7" fillId="14" borderId="1" xfId="1" applyNumberFormat="1" applyFont="1" applyFill="1" applyBorder="1" applyAlignment="1">
      <alignment horizontal="center"/>
    </xf>
    <xf numFmtId="165" fontId="7" fillId="5" borderId="1" xfId="1" applyNumberFormat="1" applyFont="1" applyFill="1" applyBorder="1" applyAlignment="1">
      <alignment horizontal="center"/>
    </xf>
    <xf numFmtId="165" fontId="7" fillId="5" borderId="2" xfId="1" applyNumberFormat="1" applyFont="1" applyFill="1" applyBorder="1" applyAlignment="1">
      <alignment horizontal="center"/>
    </xf>
    <xf numFmtId="165" fontId="7" fillId="15" borderId="1" xfId="1" applyNumberFormat="1" applyFont="1" applyFill="1" applyBorder="1" applyAlignment="1">
      <alignment horizontal="center"/>
    </xf>
    <xf numFmtId="165" fontId="7" fillId="15" borderId="2" xfId="1" applyNumberFormat="1" applyFont="1" applyFill="1" applyBorder="1" applyAlignment="1">
      <alignment horizontal="center"/>
    </xf>
    <xf numFmtId="165" fontId="7" fillId="15" borderId="1" xfId="1" applyNumberFormat="1" applyFont="1" applyFill="1" applyBorder="1"/>
    <xf numFmtId="165" fontId="8" fillId="5" borderId="0" xfId="1" applyNumberFormat="1" applyFont="1" applyFill="1" applyAlignment="1">
      <alignment horizontal="right"/>
    </xf>
    <xf numFmtId="165" fontId="7" fillId="5" borderId="1" xfId="1" applyNumberFormat="1" applyFont="1" applyFill="1" applyBorder="1"/>
    <xf numFmtId="165" fontId="7" fillId="16" borderId="0" xfId="1" applyNumberFormat="1" applyFont="1" applyFill="1" applyAlignment="1">
      <alignment horizontal="right"/>
    </xf>
    <xf numFmtId="9" fontId="7" fillId="17" borderId="0" xfId="2" applyFont="1" applyFill="1"/>
    <xf numFmtId="9" fontId="7" fillId="17" borderId="0" xfId="2" applyFont="1" applyFill="1" applyAlignment="1">
      <alignment vertical="top"/>
    </xf>
    <xf numFmtId="9" fontId="7" fillId="18" borderId="0" xfId="2" applyFont="1" applyFill="1" applyAlignment="1">
      <alignment vertical="top"/>
    </xf>
    <xf numFmtId="165" fontId="7" fillId="18" borderId="0" xfId="1" applyNumberFormat="1" applyFont="1" applyFill="1"/>
    <xf numFmtId="0" fontId="7" fillId="19" borderId="0" xfId="0" applyFont="1" applyFill="1" applyAlignment="1">
      <alignment vertical="top"/>
    </xf>
    <xf numFmtId="0" fontId="7" fillId="19" borderId="0" xfId="0" applyFont="1" applyFill="1"/>
    <xf numFmtId="168" fontId="0" fillId="3" borderId="0" xfId="0" applyNumberFormat="1" applyFill="1"/>
    <xf numFmtId="167" fontId="7" fillId="16" borderId="0" xfId="2" applyNumberFormat="1" applyFont="1" applyFill="1" applyAlignment="1">
      <alignment vertical="top"/>
    </xf>
    <xf numFmtId="165" fontId="7" fillId="20" borderId="0" xfId="0" applyNumberFormat="1" applyFont="1" applyFill="1" applyAlignment="1">
      <alignment horizontal="right"/>
    </xf>
    <xf numFmtId="0" fontId="23" fillId="0" borderId="0" xfId="3"/>
    <xf numFmtId="0" fontId="23" fillId="0" borderId="6" xfId="3" applyBorder="1" applyAlignment="1">
      <alignment horizontal="left" vertical="center" wrapText="1"/>
    </xf>
    <xf numFmtId="167" fontId="23" fillId="0" borderId="6" xfId="3" applyNumberFormat="1" applyBorder="1" applyAlignment="1">
      <alignment horizontal="left" vertical="center" wrapText="1"/>
    </xf>
    <xf numFmtId="0" fontId="16" fillId="0" borderId="6" xfId="3" applyFont="1" applyBorder="1" applyAlignment="1">
      <alignment horizontal="left" vertical="center" wrapText="1"/>
    </xf>
    <xf numFmtId="0" fontId="22" fillId="11" borderId="6" xfId="3" applyFont="1" applyFill="1" applyBorder="1" applyAlignment="1">
      <alignment horizontal="left" vertical="center" wrapText="1"/>
    </xf>
    <xf numFmtId="2" fontId="23" fillId="0" borderId="6" xfId="3" applyNumberFormat="1" applyBorder="1" applyAlignment="1">
      <alignment horizontal="left" vertical="center" wrapText="1"/>
    </xf>
    <xf numFmtId="172" fontId="23" fillId="0" borderId="6" xfId="3" applyNumberFormat="1" applyBorder="1" applyAlignment="1">
      <alignment horizontal="left" vertical="center" wrapText="1"/>
    </xf>
    <xf numFmtId="0" fontId="22" fillId="11" borderId="6" xfId="3" applyFont="1" applyFill="1" applyBorder="1" applyAlignment="1">
      <alignment horizontal="center" vertical="center" wrapText="1"/>
    </xf>
    <xf numFmtId="0" fontId="23" fillId="21" borderId="6" xfId="3" applyFill="1" applyBorder="1" applyAlignment="1">
      <alignment horizontal="left" vertical="center" wrapText="1"/>
    </xf>
    <xf numFmtId="167" fontId="23" fillId="21" borderId="6" xfId="3" applyNumberFormat="1" applyFill="1" applyBorder="1" applyAlignment="1">
      <alignment horizontal="left" vertical="center" wrapText="1"/>
    </xf>
    <xf numFmtId="0" fontId="23" fillId="22" borderId="6" xfId="3" applyFill="1" applyBorder="1" applyAlignment="1">
      <alignment horizontal="left" vertical="center" wrapText="1"/>
    </xf>
    <xf numFmtId="167" fontId="23" fillId="22" borderId="6" xfId="3" applyNumberFormat="1" applyFill="1" applyBorder="1" applyAlignment="1">
      <alignment horizontal="left" vertical="center" wrapText="1"/>
    </xf>
    <xf numFmtId="0" fontId="16" fillId="22" borderId="6" xfId="3" applyFont="1" applyFill="1" applyBorder="1" applyAlignment="1">
      <alignment horizontal="left" vertical="center" wrapText="1"/>
    </xf>
    <xf numFmtId="0" fontId="23" fillId="23" borderId="6" xfId="3" applyFill="1" applyBorder="1" applyAlignment="1">
      <alignment horizontal="left" vertical="center" wrapText="1"/>
    </xf>
    <xf numFmtId="2" fontId="23" fillId="23" borderId="6" xfId="3" applyNumberFormat="1" applyFill="1" applyBorder="1" applyAlignment="1">
      <alignment horizontal="left" vertical="center" wrapText="1"/>
    </xf>
    <xf numFmtId="0" fontId="16" fillId="23" borderId="6" xfId="3" applyFont="1" applyFill="1" applyBorder="1" applyAlignment="1">
      <alignment horizontal="left" vertical="center" wrapText="1"/>
    </xf>
    <xf numFmtId="2" fontId="23" fillId="22" borderId="6" xfId="3" applyNumberFormat="1" applyFill="1" applyBorder="1" applyAlignment="1">
      <alignment horizontal="left" vertical="center" wrapText="1"/>
    </xf>
    <xf numFmtId="172" fontId="23" fillId="23" borderId="6" xfId="3" applyNumberFormat="1" applyFill="1" applyBorder="1" applyAlignment="1">
      <alignment horizontal="left" vertical="center" wrapText="1"/>
    </xf>
    <xf numFmtId="172" fontId="23" fillId="22" borderId="6" xfId="3" applyNumberFormat="1" applyFill="1" applyBorder="1" applyAlignment="1">
      <alignment horizontal="left" vertical="center" wrapText="1"/>
    </xf>
    <xf numFmtId="167" fontId="23" fillId="23" borderId="6" xfId="3" applyNumberFormat="1" applyFill="1" applyBorder="1" applyAlignment="1">
      <alignment horizontal="left" vertical="center" wrapText="1"/>
    </xf>
    <xf numFmtId="0" fontId="27" fillId="0" borderId="9" xfId="3" applyFont="1" applyBorder="1" applyAlignment="1">
      <alignment vertical="top" wrapText="1"/>
    </xf>
    <xf numFmtId="0" fontId="23" fillId="0" borderId="0" xfId="3" applyAlignment="1">
      <alignment vertical="top" wrapText="1"/>
    </xf>
    <xf numFmtId="0" fontId="23" fillId="0" borderId="9" xfId="3" applyBorder="1" applyAlignment="1">
      <alignment vertical="top" wrapText="1"/>
    </xf>
    <xf numFmtId="173" fontId="23" fillId="0" borderId="9" xfId="3" applyNumberFormat="1" applyBorder="1" applyAlignment="1">
      <alignment vertical="top" wrapText="1"/>
    </xf>
    <xf numFmtId="167" fontId="23" fillId="0" borderId="9" xfId="3" applyNumberFormat="1" applyBorder="1" applyAlignment="1">
      <alignment vertical="top" wrapText="1"/>
    </xf>
    <xf numFmtId="0" fontId="29" fillId="24" borderId="9" xfId="3" applyFont="1" applyFill="1" applyBorder="1" applyAlignment="1">
      <alignment vertical="top" wrapText="1"/>
    </xf>
    <xf numFmtId="10" fontId="23" fillId="0" borderId="9" xfId="3" applyNumberFormat="1" applyBorder="1" applyAlignment="1">
      <alignment vertical="top" wrapText="1"/>
    </xf>
    <xf numFmtId="1" fontId="34" fillId="0" borderId="9" xfId="3" applyNumberFormat="1" applyFont="1" applyBorder="1" applyAlignment="1">
      <alignment horizontal="center"/>
    </xf>
    <xf numFmtId="0" fontId="35" fillId="0" borderId="9" xfId="3" applyFont="1" applyBorder="1" applyAlignment="1">
      <alignment horizontal="left"/>
    </xf>
    <xf numFmtId="0" fontId="36" fillId="26" borderId="9" xfId="3" applyFont="1" applyFill="1" applyBorder="1" applyAlignment="1">
      <alignment horizontal="left"/>
    </xf>
    <xf numFmtId="171" fontId="37" fillId="26" borderId="9" xfId="3" applyNumberFormat="1" applyFont="1" applyFill="1" applyBorder="1" applyAlignment="1">
      <alignment horizontal="center"/>
    </xf>
    <xf numFmtId="0" fontId="37" fillId="26" borderId="9" xfId="3" applyFont="1" applyFill="1" applyBorder="1" applyAlignment="1">
      <alignment horizontal="left"/>
    </xf>
    <xf numFmtId="0" fontId="32" fillId="0" borderId="9" xfId="3" applyFont="1" applyBorder="1" applyAlignment="1">
      <alignment horizontal="left" wrapText="1"/>
    </xf>
    <xf numFmtId="171" fontId="34" fillId="0" borderId="9" xfId="3" applyNumberFormat="1" applyFont="1" applyBorder="1" applyAlignment="1">
      <alignment horizontal="center"/>
    </xf>
    <xf numFmtId="0" fontId="38" fillId="0" borderId="9" xfId="3" applyFont="1" applyBorder="1" applyAlignment="1">
      <alignment horizontal="center"/>
    </xf>
    <xf numFmtId="0" fontId="39" fillId="0" borderId="9" xfId="3" applyFont="1" applyBorder="1" applyAlignment="1">
      <alignment horizontal="left" wrapText="1"/>
    </xf>
    <xf numFmtId="0" fontId="32" fillId="27" borderId="9" xfId="3" applyFont="1" applyFill="1" applyBorder="1" applyAlignment="1">
      <alignment horizontal="left" wrapText="1"/>
    </xf>
    <xf numFmtId="171" fontId="34" fillId="27" borderId="9" xfId="3" applyNumberFormat="1" applyFont="1" applyFill="1" applyBorder="1" applyAlignment="1">
      <alignment horizontal="center"/>
    </xf>
    <xf numFmtId="0" fontId="38" fillId="27" borderId="9" xfId="3" applyFont="1" applyFill="1" applyBorder="1" applyAlignment="1">
      <alignment horizontal="center"/>
    </xf>
    <xf numFmtId="0" fontId="39" fillId="27" borderId="9" xfId="3" applyFont="1" applyFill="1" applyBorder="1" applyAlignment="1">
      <alignment horizontal="left" wrapText="1"/>
    </xf>
    <xf numFmtId="0" fontId="37" fillId="26" borderId="9" xfId="3" applyFont="1" applyFill="1" applyBorder="1" applyAlignment="1">
      <alignment horizontal="center"/>
    </xf>
    <xf numFmtId="0" fontId="37" fillId="26" borderId="9" xfId="3" applyFont="1" applyFill="1" applyBorder="1" applyAlignment="1">
      <alignment vertical="center"/>
    </xf>
    <xf numFmtId="174" fontId="40" fillId="0" borderId="9" xfId="3" applyNumberFormat="1" applyFont="1" applyBorder="1" applyAlignment="1">
      <alignment horizontal="center"/>
    </xf>
    <xf numFmtId="0" fontId="39" fillId="0" borderId="9" xfId="3" applyFont="1" applyBorder="1" applyAlignment="1">
      <alignment horizontal="left" indent="1"/>
    </xf>
    <xf numFmtId="0" fontId="23" fillId="27" borderId="9" xfId="3" applyFill="1" applyBorder="1"/>
    <xf numFmtId="0" fontId="35" fillId="27" borderId="9" xfId="3" applyFont="1" applyFill="1" applyBorder="1" applyAlignment="1">
      <alignment horizontal="left" vertical="center"/>
    </xf>
    <xf numFmtId="173" fontId="40" fillId="0" borderId="9" xfId="3" applyNumberFormat="1" applyFont="1" applyBorder="1" applyAlignment="1">
      <alignment horizontal="center"/>
    </xf>
    <xf numFmtId="175" fontId="40" fillId="0" borderId="9" xfId="3" applyNumberFormat="1" applyFont="1" applyBorder="1" applyAlignment="1">
      <alignment horizontal="center"/>
    </xf>
    <xf numFmtId="0" fontId="35" fillId="27" borderId="9" xfId="3" applyFont="1" applyFill="1" applyBorder="1" applyAlignment="1">
      <alignment vertical="center"/>
    </xf>
    <xf numFmtId="0" fontId="32" fillId="0" borderId="9" xfId="3" applyFont="1" applyBorder="1" applyAlignment="1">
      <alignment horizontal="left" vertical="center" wrapText="1"/>
    </xf>
    <xf numFmtId="0" fontId="34" fillId="0" borderId="9" xfId="3" applyFont="1" applyBorder="1" applyAlignment="1">
      <alignment horizontal="center" vertical="center"/>
    </xf>
    <xf numFmtId="176" fontId="40" fillId="0" borderId="9" xfId="3" applyNumberFormat="1" applyFont="1" applyBorder="1" applyAlignment="1">
      <alignment horizontal="center" vertical="center"/>
    </xf>
    <xf numFmtId="0" fontId="39" fillId="0" borderId="9" xfId="3" applyFont="1" applyBorder="1" applyAlignment="1">
      <alignment horizontal="left" vertical="center" wrapText="1"/>
    </xf>
    <xf numFmtId="0" fontId="32" fillId="27" borderId="9" xfId="3" applyFont="1" applyFill="1" applyBorder="1" applyAlignment="1">
      <alignment horizontal="left" vertical="center" wrapText="1"/>
    </xf>
    <xf numFmtId="0" fontId="34" fillId="27" borderId="9" xfId="3" applyFont="1" applyFill="1" applyBorder="1" applyAlignment="1">
      <alignment horizontal="center" vertical="center"/>
    </xf>
    <xf numFmtId="176" fontId="40" fillId="27" borderId="9" xfId="3" applyNumberFormat="1" applyFont="1" applyFill="1" applyBorder="1" applyAlignment="1">
      <alignment horizontal="center" vertical="center"/>
    </xf>
    <xf numFmtId="0" fontId="39" fillId="27" borderId="9" xfId="3" applyFont="1" applyFill="1" applyBorder="1" applyAlignment="1">
      <alignment horizontal="left" vertical="center" wrapText="1"/>
    </xf>
    <xf numFmtId="173" fontId="40" fillId="0" borderId="9" xfId="3" applyNumberFormat="1" applyFont="1" applyBorder="1" applyAlignment="1">
      <alignment horizontal="center" vertical="center"/>
    </xf>
    <xf numFmtId="175" fontId="40" fillId="27" borderId="9" xfId="3" applyNumberFormat="1" applyFont="1" applyFill="1" applyBorder="1" applyAlignment="1">
      <alignment horizontal="center" vertical="center"/>
    </xf>
    <xf numFmtId="173" fontId="40" fillId="27" borderId="9" xfId="3" applyNumberFormat="1" applyFont="1" applyFill="1" applyBorder="1" applyAlignment="1">
      <alignment horizontal="center" vertical="center"/>
    </xf>
    <xf numFmtId="174" fontId="40" fillId="0" borderId="9" xfId="3" applyNumberFormat="1" applyFont="1" applyBorder="1" applyAlignment="1">
      <alignment horizontal="center" vertical="center"/>
    </xf>
    <xf numFmtId="174" fontId="40" fillId="27" borderId="9" xfId="3" applyNumberFormat="1" applyFont="1" applyFill="1" applyBorder="1" applyAlignment="1">
      <alignment horizontal="center" vertical="center"/>
    </xf>
    <xf numFmtId="175" fontId="40" fillId="0" borderId="9" xfId="3" applyNumberFormat="1" applyFont="1" applyBorder="1" applyAlignment="1">
      <alignment horizontal="center" vertical="center"/>
    </xf>
    <xf numFmtId="4" fontId="40" fillId="0" borderId="9" xfId="3" applyNumberFormat="1" applyFont="1" applyBorder="1" applyAlignment="1">
      <alignment horizontal="center" vertical="center"/>
    </xf>
    <xf numFmtId="0" fontId="37" fillId="26" borderId="9" xfId="3" applyFont="1" applyFill="1" applyBorder="1" applyAlignment="1">
      <alignment horizontal="center" vertical="center"/>
    </xf>
    <xf numFmtId="165" fontId="7" fillId="0" borderId="0" xfId="0" applyNumberFormat="1" applyFont="1" applyAlignment="1">
      <alignment horizontal="right"/>
    </xf>
    <xf numFmtId="0" fontId="0" fillId="0" borderId="0" xfId="0"/>
    <xf numFmtId="0" fontId="26" fillId="11" borderId="0" xfId="3" applyFont="1" applyFill="1" applyAlignment="1">
      <alignment horizontal="center"/>
    </xf>
    <xf numFmtId="0" fontId="23" fillId="0" borderId="0" xfId="3"/>
    <xf numFmtId="0" fontId="24" fillId="0" borderId="0" xfId="3" applyFont="1"/>
    <xf numFmtId="0" fontId="23" fillId="0" borderId="6" xfId="3" applyBorder="1" applyAlignment="1">
      <alignment horizontal="left" vertical="center" wrapText="1"/>
    </xf>
    <xf numFmtId="0" fontId="22" fillId="11" borderId="0" xfId="3" applyFont="1" applyFill="1" applyAlignment="1">
      <alignment horizontal="center" vertical="center" wrapText="1"/>
    </xf>
    <xf numFmtId="0" fontId="25" fillId="0" borderId="0" xfId="3" applyFont="1" applyAlignment="1">
      <alignment horizontal="center"/>
    </xf>
    <xf numFmtId="0" fontId="31" fillId="24" borderId="0" xfId="3" applyFont="1" applyFill="1" applyAlignment="1">
      <alignment vertical="top" wrapText="1"/>
    </xf>
    <xf numFmtId="0" fontId="23" fillId="0" borderId="8" xfId="3" applyBorder="1" applyAlignment="1">
      <alignment vertical="top" wrapText="1"/>
    </xf>
    <xf numFmtId="0" fontId="23" fillId="0" borderId="7" xfId="3" applyBorder="1"/>
    <xf numFmtId="0" fontId="28" fillId="24" borderId="0" xfId="3" applyFont="1" applyFill="1" applyAlignment="1">
      <alignment vertical="top" wrapText="1"/>
    </xf>
    <xf numFmtId="0" fontId="30" fillId="0" borderId="0" xfId="3" applyFont="1" applyAlignment="1">
      <alignment vertical="top" wrapText="1"/>
    </xf>
    <xf numFmtId="0" fontId="32" fillId="0" borderId="0" xfId="3" applyFont="1" applyAlignment="1">
      <alignment horizontal="left" vertical="top" wrapText="1"/>
    </xf>
    <xf numFmtId="0" fontId="33" fillId="25" borderId="0" xfId="3" applyFont="1" applyFill="1" applyAlignment="1">
      <alignment horizontal="left" vertical="center" indent="1"/>
    </xf>
    <xf numFmtId="0" fontId="42" fillId="28" borderId="0" xfId="3" applyFont="1" applyFill="1" applyAlignment="1">
      <alignment horizontal="left" vertical="center" indent="1"/>
    </xf>
    <xf numFmtId="0" fontId="41" fillId="28" borderId="0" xfId="3" applyFont="1" applyFill="1" applyAlignment="1">
      <alignment horizontal="left" vertical="center" indent="1"/>
    </xf>
  </cellXfs>
  <cellStyles count="4">
    <cellStyle name="Comma" xfId="1" builtinId="3"/>
    <cellStyle name="Normal" xfId="0" builtinId="0"/>
    <cellStyle name="Normal 2" xfId="3" xr:uid="{D9B13E89-38E9-CF4A-ABD5-1FCC198E1C24}"/>
    <cellStyle name="Per cent" xfId="2" builtinId="5"/>
  </cellStyles>
  <dxfs count="0"/>
  <tableStyles count="0" defaultTableStyle="TableStyleMedium2" defaultPivotStyle="PivotStyleLight16"/>
  <colors>
    <mruColors>
      <color rgb="FF569654"/>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Revenue trend: FY2026–FY2036 (scenario)</a:t>
            </a:r>
          </a:p>
        </c:rich>
      </c:tx>
      <c:overlay val="1"/>
    </c:title>
    <c:autoTitleDeleted val="0"/>
    <c:plotArea>
      <c:layout/>
      <c:lineChart>
        <c:grouping val="standard"/>
        <c:varyColors val="1"/>
        <c:ser>
          <c:idx val="0"/>
          <c:order val="0"/>
          <c:tx>
            <c:strRef>
              <c:f>'Company Comparison'!$B$31</c:f>
              <c:strCache>
                <c:ptCount val="1"/>
                <c:pt idx="0">
                  <c:v>JSW Revenue</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Comparison'!$B$32:$B$38</c:f>
              <c:numCache>
                <c:formatCode>#,##0.0</c:formatCode>
                <c:ptCount val="7"/>
                <c:pt idx="0">
                  <c:v>185470</c:v>
                </c:pt>
                <c:pt idx="1">
                  <c:v>198452.90000000002</c:v>
                </c:pt>
                <c:pt idx="2">
                  <c:v>212344.603</c:v>
                </c:pt>
                <c:pt idx="3">
                  <c:v>227208.72521000003</c:v>
                </c:pt>
                <c:pt idx="4">
                  <c:v>243113.33597469999</c:v>
                </c:pt>
                <c:pt idx="5">
                  <c:v>260131.26949292904</c:v>
                </c:pt>
                <c:pt idx="6">
                  <c:v>364847.56223649572</c:v>
                </c:pt>
              </c:numCache>
            </c:numRef>
          </c:val>
          <c:smooth val="1"/>
          <c:extLst>
            <c:ext xmlns:c16="http://schemas.microsoft.com/office/drawing/2014/chart" uri="{C3380CC4-5D6E-409C-BE32-E72D297353CC}">
              <c16:uniqueId val="{00000000-ABC1-CC4F-8CEA-FF8597B0ED53}"/>
            </c:ext>
          </c:extLst>
        </c:ser>
        <c:ser>
          <c:idx val="1"/>
          <c:order val="1"/>
          <c:tx>
            <c:strRef>
              <c:f>'Company Comparison'!$C$31</c:f>
              <c:strCache>
                <c:ptCount val="1"/>
                <c:pt idx="0">
                  <c:v>Tata Revenue</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Comparison'!$C$32:$C$38</c:f>
              <c:numCache>
                <c:formatCode>#,##0.0</c:formatCode>
                <c:ptCount val="7"/>
                <c:pt idx="0">
                  <c:v>232139.94</c:v>
                </c:pt>
                <c:pt idx="1">
                  <c:v>243746.93700000001</c:v>
                </c:pt>
                <c:pt idx="2">
                  <c:v>255934.28385000001</c:v>
                </c:pt>
                <c:pt idx="3">
                  <c:v>268730.99804250005</c:v>
                </c:pt>
                <c:pt idx="4">
                  <c:v>282167.54794462502</c:v>
                </c:pt>
                <c:pt idx="5">
                  <c:v>296275.92534185626</c:v>
                </c:pt>
                <c:pt idx="6">
                  <c:v>378131.50092643767</c:v>
                </c:pt>
              </c:numCache>
            </c:numRef>
          </c:val>
          <c:smooth val="1"/>
          <c:extLst>
            <c:ext xmlns:c16="http://schemas.microsoft.com/office/drawing/2014/chart" uri="{C3380CC4-5D6E-409C-BE32-E72D297353CC}">
              <c16:uniqueId val="{00000001-ABC1-CC4F-8CEA-FF8597B0ED53}"/>
            </c:ext>
          </c:extLst>
        </c:ser>
        <c:ser>
          <c:idx val="2"/>
          <c:order val="2"/>
          <c:tx>
            <c:strRef>
              <c:f>'Company Comparison'!$D$31</c:f>
              <c:strCache>
                <c:ptCount val="1"/>
                <c:pt idx="0">
                  <c:v>Jindal Revenue</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Comparison'!$D$32:$D$38</c:f>
              <c:numCache>
                <c:formatCode>#,##0.0</c:formatCode>
                <c:ptCount val="7"/>
                <c:pt idx="0">
                  <c:v>53454.85</c:v>
                </c:pt>
                <c:pt idx="1">
                  <c:v>56662.141000000003</c:v>
                </c:pt>
                <c:pt idx="2">
                  <c:v>60061.869460000009</c:v>
                </c:pt>
                <c:pt idx="3">
                  <c:v>63665.581627600011</c:v>
                </c:pt>
                <c:pt idx="4">
                  <c:v>67485.516525256011</c:v>
                </c:pt>
                <c:pt idx="5">
                  <c:v>71534.64751677138</c:v>
                </c:pt>
                <c:pt idx="6">
                  <c:v>95729.494991543805</c:v>
                </c:pt>
              </c:numCache>
            </c:numRef>
          </c:val>
          <c:smooth val="1"/>
          <c:extLst>
            <c:ext xmlns:c16="http://schemas.microsoft.com/office/drawing/2014/chart" uri="{C3380CC4-5D6E-409C-BE32-E72D297353CC}">
              <c16:uniqueId val="{00000002-ABC1-CC4F-8CEA-FF8597B0ED53}"/>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Fiscal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 crore</a:t>
                </a:r>
              </a:p>
            </c:rich>
          </c:tx>
          <c:overlay val="1"/>
        </c:title>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Crude steel production trend: FY2026–FY2036 (scenario)</a:t>
            </a:r>
          </a:p>
        </c:rich>
      </c:tx>
      <c:overlay val="1"/>
    </c:title>
    <c:autoTitleDeleted val="0"/>
    <c:plotArea>
      <c:layout/>
      <c:lineChart>
        <c:grouping val="standard"/>
        <c:varyColors val="1"/>
        <c:ser>
          <c:idx val="0"/>
          <c:order val="0"/>
          <c:tx>
            <c:strRef>
              <c:f>'Company Comparison'!$H$31</c:f>
              <c:strCache>
                <c:ptCount val="1"/>
                <c:pt idx="0">
                  <c:v>JSW Production</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Comparison'!$H$32:$H$38</c:f>
              <c:numCache>
                <c:formatCode>0.00</c:formatCode>
                <c:ptCount val="7"/>
                <c:pt idx="0">
                  <c:v>31.5</c:v>
                </c:pt>
                <c:pt idx="1">
                  <c:v>33.075000000000003</c:v>
                </c:pt>
                <c:pt idx="2">
                  <c:v>34.728749999999998</c:v>
                </c:pt>
                <c:pt idx="3">
                  <c:v>36.465187500000006</c:v>
                </c:pt>
                <c:pt idx="4">
                  <c:v>38.288446874999998</c:v>
                </c:pt>
                <c:pt idx="5">
                  <c:v>40.202869218750003</c:v>
                </c:pt>
                <c:pt idx="6">
                  <c:v>51.310180743489411</c:v>
                </c:pt>
              </c:numCache>
            </c:numRef>
          </c:val>
          <c:smooth val="1"/>
          <c:extLst>
            <c:ext xmlns:c16="http://schemas.microsoft.com/office/drawing/2014/chart" uri="{C3380CC4-5D6E-409C-BE32-E72D297353CC}">
              <c16:uniqueId val="{00000000-B0B3-B349-B5B0-FFBB21C78240}"/>
            </c:ext>
          </c:extLst>
        </c:ser>
        <c:ser>
          <c:idx val="1"/>
          <c:order val="1"/>
          <c:tx>
            <c:strRef>
              <c:f>'Company Comparison'!$I$31</c:f>
              <c:strCache>
                <c:ptCount val="1"/>
                <c:pt idx="0">
                  <c:v>Tata Production</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Comparison'!$I$32:$I$38</c:f>
              <c:numCache>
                <c:formatCode>0.00</c:formatCode>
                <c:ptCount val="7"/>
                <c:pt idx="0">
                  <c:v>33</c:v>
                </c:pt>
                <c:pt idx="1">
                  <c:v>34.32</c:v>
                </c:pt>
                <c:pt idx="2">
                  <c:v>35.692800000000005</c:v>
                </c:pt>
                <c:pt idx="3">
                  <c:v>37.120512000000005</c:v>
                </c:pt>
                <c:pt idx="4">
                  <c:v>38.605332480000008</c:v>
                </c:pt>
                <c:pt idx="5">
                  <c:v>40.149545779200011</c:v>
                </c:pt>
                <c:pt idx="6">
                  <c:v>48.848061402305369</c:v>
                </c:pt>
              </c:numCache>
            </c:numRef>
          </c:val>
          <c:smooth val="1"/>
          <c:extLst>
            <c:ext xmlns:c16="http://schemas.microsoft.com/office/drawing/2014/chart" uri="{C3380CC4-5D6E-409C-BE32-E72D297353CC}">
              <c16:uniqueId val="{00000001-B0B3-B349-B5B0-FFBB21C78240}"/>
            </c:ext>
          </c:extLst>
        </c:ser>
        <c:ser>
          <c:idx val="2"/>
          <c:order val="2"/>
          <c:tx>
            <c:strRef>
              <c:f>'Company Comparison'!$J$31</c:f>
              <c:strCache>
                <c:ptCount val="1"/>
                <c:pt idx="0">
                  <c:v>Jindal Production</c:v>
                </c:pt>
              </c:strCache>
            </c:strRef>
          </c:tx>
          <c:spPr>
            <a:ln>
              <a:prstDash val="solid"/>
            </a:ln>
          </c:spPr>
          <c:marker>
            <c:symbol val="none"/>
          </c:marker>
          <c:cat>
            <c:strRef>
              <c:f>'Company Comparison'!$A$32:$A$38</c:f>
              <c:strCache>
                <c:ptCount val="7"/>
                <c:pt idx="0">
                  <c:v>FY2026</c:v>
                </c:pt>
                <c:pt idx="1">
                  <c:v>FY2027</c:v>
                </c:pt>
                <c:pt idx="2">
                  <c:v>FY2028</c:v>
                </c:pt>
                <c:pt idx="3">
                  <c:v>FY2029</c:v>
                </c:pt>
                <c:pt idx="4">
                  <c:v>FY2030</c:v>
                </c:pt>
                <c:pt idx="5">
                  <c:v>FY2031</c:v>
                </c:pt>
                <c:pt idx="6">
                  <c:v>FY2036</c:v>
                </c:pt>
              </c:strCache>
            </c:strRef>
          </c:cat>
          <c:val>
            <c:numRef>
              <c:f>'Company Comparison'!$J$32:$J$38</c:f>
              <c:numCache>
                <c:formatCode>0.00</c:formatCode>
                <c:ptCount val="7"/>
                <c:pt idx="0">
                  <c:v>10</c:v>
                </c:pt>
                <c:pt idx="1">
                  <c:v>10.600000000000001</c:v>
                </c:pt>
                <c:pt idx="2">
                  <c:v>11.236000000000001</c:v>
                </c:pt>
                <c:pt idx="3">
                  <c:v>11.910160000000003</c:v>
                </c:pt>
                <c:pt idx="4">
                  <c:v>12.624769600000004</c:v>
                </c:pt>
                <c:pt idx="5">
                  <c:v>13.382255776000004</c:v>
                </c:pt>
                <c:pt idx="6">
                  <c:v>17.908476965428545</c:v>
                </c:pt>
              </c:numCache>
            </c:numRef>
          </c:val>
          <c:smooth val="1"/>
          <c:extLst>
            <c:ext xmlns:c16="http://schemas.microsoft.com/office/drawing/2014/chart" uri="{C3380CC4-5D6E-409C-BE32-E72D297353CC}">
              <c16:uniqueId val="{00000002-B0B3-B349-B5B0-FFBB21C78240}"/>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Fiscal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Million tonnes</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FY2026 revenue comparison</a:t>
            </a:r>
          </a:p>
        </c:rich>
      </c:tx>
      <c:overlay val="1"/>
    </c:title>
    <c:autoTitleDeleted val="0"/>
    <c:plotArea>
      <c:layout/>
      <c:barChart>
        <c:barDir val="col"/>
        <c:grouping val="clustered"/>
        <c:varyColors val="1"/>
        <c:ser>
          <c:idx val="0"/>
          <c:order val="0"/>
          <c:tx>
            <c:strRef>
              <c:f>'Company Comparison'!$M$39</c:f>
              <c:strCache>
                <c:ptCount val="1"/>
                <c:pt idx="0">
                  <c:v>Revenue</c:v>
                </c:pt>
              </c:strCache>
            </c:strRef>
          </c:tx>
          <c:spPr>
            <a:ln>
              <a:prstDash val="solid"/>
            </a:ln>
          </c:spPr>
          <c:invertIfNegative val="1"/>
          <c:cat>
            <c:strRef>
              <c:f>'Company Comparison'!$L$40:$L$42</c:f>
              <c:strCache>
                <c:ptCount val="3"/>
                <c:pt idx="0">
                  <c:v>JSW Steel</c:v>
                </c:pt>
                <c:pt idx="1">
                  <c:v>Tata Steel</c:v>
                </c:pt>
                <c:pt idx="2">
                  <c:v>Jindal Steel</c:v>
                </c:pt>
              </c:strCache>
            </c:strRef>
          </c:cat>
          <c:val>
            <c:numRef>
              <c:f>'Company Comparison'!$M$40:$M$42</c:f>
              <c:numCache>
                <c:formatCode>General</c:formatCode>
                <c:ptCount val="3"/>
                <c:pt idx="0">
                  <c:v>185470</c:v>
                </c:pt>
                <c:pt idx="1">
                  <c:v>232139.94</c:v>
                </c:pt>
                <c:pt idx="2">
                  <c:v>53454.85</c:v>
                </c:pt>
              </c:numCache>
            </c:numRef>
          </c:val>
          <c:extLst>
            <c:ext xmlns:c16="http://schemas.microsoft.com/office/drawing/2014/chart" uri="{C3380CC4-5D6E-409C-BE32-E72D297353CC}">
              <c16:uniqueId val="{00000000-2695-5C41-904E-CE6426BBDEE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Company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 crore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(Rs Cr)</a:t>
            </a:r>
          </a:p>
        </c:rich>
      </c:tx>
      <c:overlay val="0"/>
      <c:spPr>
        <a:noFill/>
        <a:ln w="0">
          <a:noFill/>
        </a:ln>
      </c:spPr>
    </c:title>
    <c:autoTitleDeleted val="0"/>
    <c:plotArea>
      <c:layout/>
      <c:lineChart>
        <c:grouping val="standard"/>
        <c:varyColors val="0"/>
        <c:ser>
          <c:idx val="0"/>
          <c:order val="0"/>
          <c:tx>
            <c:strRef>
              <c:f>Dashboard!$B$31</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Dashboard!$C$31:$I$31</c:f>
              <c:numCache>
                <c:formatCode>#,##0;\(#,##0\);\-</c:formatCode>
                <c:ptCount val="7"/>
                <c:pt idx="0">
                  <c:v>73326</c:v>
                </c:pt>
                <c:pt idx="1">
                  <c:v>79839</c:v>
                </c:pt>
                <c:pt idx="2">
                  <c:v>146371</c:v>
                </c:pt>
                <c:pt idx="3">
                  <c:v>165960</c:v>
                </c:pt>
                <c:pt idx="4">
                  <c:v>175006</c:v>
                </c:pt>
                <c:pt idx="5">
                  <c:v>168824</c:v>
                </c:pt>
                <c:pt idx="6">
                  <c:v>185470</c:v>
                </c:pt>
              </c:numCache>
            </c:numRef>
          </c:val>
          <c:smooth val="0"/>
          <c:extLst>
            <c:ext xmlns:c16="http://schemas.microsoft.com/office/drawing/2014/chart" uri="{C3380CC4-5D6E-409C-BE32-E72D297353CC}">
              <c16:uniqueId val="{00000000-4B34-BC4F-8C69-CB9AC7717663}"/>
            </c:ext>
          </c:extLst>
        </c:ser>
        <c:ser>
          <c:idx val="1"/>
          <c:order val="1"/>
          <c:tx>
            <c:strRef>
              <c:f>Dashboard!$B$32</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Dashboard!$C$32:$I$32</c:f>
              <c:numCache>
                <c:formatCode>#,##0;\(#,##0\);\-</c:formatCode>
                <c:ptCount val="7"/>
                <c:pt idx="0">
                  <c:v>139816.65</c:v>
                </c:pt>
                <c:pt idx="1">
                  <c:v>156477.4</c:v>
                </c:pt>
                <c:pt idx="2">
                  <c:v>243959.17</c:v>
                </c:pt>
                <c:pt idx="3">
                  <c:v>243352.69</c:v>
                </c:pt>
                <c:pt idx="4">
                  <c:v>229170.78</c:v>
                </c:pt>
                <c:pt idx="5">
                  <c:v>218542.51</c:v>
                </c:pt>
                <c:pt idx="6">
                  <c:v>232139.94</c:v>
                </c:pt>
              </c:numCache>
            </c:numRef>
          </c:val>
          <c:smooth val="0"/>
          <c:extLst>
            <c:ext xmlns:c16="http://schemas.microsoft.com/office/drawing/2014/chart" uri="{C3380CC4-5D6E-409C-BE32-E72D297353CC}">
              <c16:uniqueId val="{00000001-4B34-BC4F-8C69-CB9AC7717663}"/>
            </c:ext>
          </c:extLst>
        </c:ser>
        <c:ser>
          <c:idx val="2"/>
          <c:order val="2"/>
          <c:tx>
            <c:strRef>
              <c:f>Dashboard!$B$33</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Dashboard!$C$33:$I$33</c:f>
              <c:numCache>
                <c:formatCode>#,##0;\(#,##0\);\-</c:formatCode>
                <c:ptCount val="7"/>
                <c:pt idx="0">
                  <c:v>37923.19</c:v>
                </c:pt>
                <c:pt idx="1">
                  <c:v>34578.9</c:v>
                </c:pt>
                <c:pt idx="2">
                  <c:v>51165.64</c:v>
                </c:pt>
                <c:pt idx="3">
                  <c:v>53211.519999999997</c:v>
                </c:pt>
                <c:pt idx="4">
                  <c:v>50354.45</c:v>
                </c:pt>
                <c:pt idx="5">
                  <c:v>50128.66</c:v>
                </c:pt>
                <c:pt idx="6">
                  <c:v>53454.85</c:v>
                </c:pt>
              </c:numCache>
            </c:numRef>
          </c:val>
          <c:smooth val="0"/>
          <c:extLst>
            <c:ext xmlns:c16="http://schemas.microsoft.com/office/drawing/2014/chart" uri="{C3380CC4-5D6E-409C-BE32-E72D297353CC}">
              <c16:uniqueId val="{00000002-4B34-BC4F-8C69-CB9AC7717663}"/>
            </c:ext>
          </c:extLst>
        </c:ser>
        <c:dLbls>
          <c:showLegendKey val="0"/>
          <c:showVal val="0"/>
          <c:showCatName val="0"/>
          <c:showSerName val="0"/>
          <c:showPercent val="0"/>
          <c:showBubbleSize val="0"/>
        </c:dLbls>
        <c:hiLowLines>
          <c:spPr>
            <a:ln w="0">
              <a:noFill/>
            </a:ln>
          </c:spPr>
        </c:hiLowLines>
        <c:marker val="1"/>
        <c:smooth val="0"/>
        <c:axId val="73768171"/>
        <c:axId val="64588796"/>
      </c:lineChart>
      <c:catAx>
        <c:axId val="73768171"/>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4588796"/>
        <c:crosses val="autoZero"/>
        <c:auto val="1"/>
        <c:lblAlgn val="ctr"/>
        <c:lblOffset val="100"/>
        <c:noMultiLvlLbl val="0"/>
      </c:catAx>
      <c:valAx>
        <c:axId val="64588796"/>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376817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EBITDA Margin (%)</a:t>
            </a:r>
          </a:p>
        </c:rich>
      </c:tx>
      <c:overlay val="0"/>
      <c:spPr>
        <a:noFill/>
        <a:ln w="0">
          <a:noFill/>
        </a:ln>
      </c:spPr>
    </c:title>
    <c:autoTitleDeleted val="0"/>
    <c:plotArea>
      <c:layout/>
      <c:lineChart>
        <c:grouping val="standard"/>
        <c:varyColors val="0"/>
        <c:ser>
          <c:idx val="0"/>
          <c:order val="0"/>
          <c:tx>
            <c:strRef>
              <c:f>Dashboard!$B$36</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Dashboard!$C$36:$I$36</c:f>
              <c:numCache>
                <c:formatCode>0.0%;\(0.0%\);\-</c:formatCode>
                <c:ptCount val="7"/>
                <c:pt idx="0">
                  <c:v>0.16110247388375201</c:v>
                </c:pt>
                <c:pt idx="1">
                  <c:v>0.25273362642317665</c:v>
                </c:pt>
                <c:pt idx="2">
                  <c:v>0.26722506507436583</c:v>
                </c:pt>
                <c:pt idx="3">
                  <c:v>0.11129187756085804</c:v>
                </c:pt>
                <c:pt idx="4">
                  <c:v>0.16089162657280323</c:v>
                </c:pt>
                <c:pt idx="5">
                  <c:v>0.134607638724352</c:v>
                </c:pt>
                <c:pt idx="6">
                  <c:v>0.15886127136464118</c:v>
                </c:pt>
              </c:numCache>
            </c:numRef>
          </c:val>
          <c:smooth val="0"/>
          <c:extLst>
            <c:ext xmlns:c16="http://schemas.microsoft.com/office/drawing/2014/chart" uri="{C3380CC4-5D6E-409C-BE32-E72D297353CC}">
              <c16:uniqueId val="{00000000-9494-4643-A565-0D0D988AB02F}"/>
            </c:ext>
          </c:extLst>
        </c:ser>
        <c:ser>
          <c:idx val="1"/>
          <c:order val="1"/>
          <c:tx>
            <c:strRef>
              <c:f>Dashboard!$B$37</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Dashboard!$C$37:$I$37</c:f>
              <c:numCache>
                <c:formatCode>0.0%;\(0.0%\);\-</c:formatCode>
                <c:ptCount val="7"/>
                <c:pt idx="0">
                  <c:v>0.12489971687921288</c:v>
                </c:pt>
                <c:pt idx="1">
                  <c:v>0.19494355095368401</c:v>
                </c:pt>
                <c:pt idx="2">
                  <c:v>0.26024826203499546</c:v>
                </c:pt>
                <c:pt idx="3">
                  <c:v>0.13272982517678356</c:v>
                </c:pt>
                <c:pt idx="4">
                  <c:v>9.7080090227907825E-2</c:v>
                </c:pt>
                <c:pt idx="5">
                  <c:v>0.11575985834517967</c:v>
                </c:pt>
                <c:pt idx="6">
                  <c:v>0.14798160109802735</c:v>
                </c:pt>
              </c:numCache>
            </c:numRef>
          </c:val>
          <c:smooth val="0"/>
          <c:extLst>
            <c:ext xmlns:c16="http://schemas.microsoft.com/office/drawing/2014/chart" uri="{C3380CC4-5D6E-409C-BE32-E72D297353CC}">
              <c16:uniqueId val="{00000001-9494-4643-A565-0D0D988AB02F}"/>
            </c:ext>
          </c:extLst>
        </c:ser>
        <c:ser>
          <c:idx val="2"/>
          <c:order val="2"/>
          <c:tx>
            <c:strRef>
              <c:f>Dashboard!$B$38</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Dashboard!$C$38:$I$38</c:f>
              <c:numCache>
                <c:formatCode>0.0%;\(0.0%\);\-</c:formatCode>
                <c:ptCount val="7"/>
                <c:pt idx="0">
                  <c:v>0.18012857040771102</c:v>
                </c:pt>
                <c:pt idx="1">
                  <c:v>0.3790392406930238</c:v>
                </c:pt>
                <c:pt idx="2">
                  <c:v>0.30408922863077642</c:v>
                </c:pt>
                <c:pt idx="3">
                  <c:v>0.18683811325066443</c:v>
                </c:pt>
                <c:pt idx="4">
                  <c:v>0.2025950040165268</c:v>
                </c:pt>
                <c:pt idx="5">
                  <c:v>0.18927874792583724</c:v>
                </c:pt>
                <c:pt idx="6">
                  <c:v>0.18153806436646996</c:v>
                </c:pt>
              </c:numCache>
            </c:numRef>
          </c:val>
          <c:smooth val="0"/>
          <c:extLst>
            <c:ext xmlns:c16="http://schemas.microsoft.com/office/drawing/2014/chart" uri="{C3380CC4-5D6E-409C-BE32-E72D297353CC}">
              <c16:uniqueId val="{00000002-9494-4643-A565-0D0D988AB02F}"/>
            </c:ext>
          </c:extLst>
        </c:ser>
        <c:dLbls>
          <c:showLegendKey val="0"/>
          <c:showVal val="0"/>
          <c:showCatName val="0"/>
          <c:showSerName val="0"/>
          <c:showPercent val="0"/>
          <c:showBubbleSize val="0"/>
        </c:dLbls>
        <c:hiLowLines>
          <c:spPr>
            <a:ln w="0">
              <a:noFill/>
            </a:ln>
          </c:spPr>
        </c:hiLowLines>
        <c:marker val="1"/>
        <c:smooth val="0"/>
        <c:axId val="62228503"/>
        <c:axId val="14102318"/>
      </c:lineChart>
      <c:catAx>
        <c:axId val="6222850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4102318"/>
        <c:crosses val="autoZero"/>
        <c:auto val="1"/>
        <c:lblAlgn val="ctr"/>
        <c:lblOffset val="100"/>
        <c:noMultiLvlLbl val="0"/>
      </c:catAx>
      <c:valAx>
        <c:axId val="14102318"/>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222850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Profit Margin (%)</a:t>
            </a:r>
          </a:p>
        </c:rich>
      </c:tx>
      <c:overlay val="0"/>
      <c:spPr>
        <a:noFill/>
        <a:ln w="0">
          <a:noFill/>
        </a:ln>
      </c:spPr>
    </c:title>
    <c:autoTitleDeleted val="0"/>
    <c:plotArea>
      <c:layout/>
      <c:lineChart>
        <c:grouping val="standard"/>
        <c:varyColors val="0"/>
        <c:ser>
          <c:idx val="0"/>
          <c:order val="0"/>
          <c:tx>
            <c:strRef>
              <c:f>Dashboard!$B$41</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Dashboard!$C$41:$I$41</c:f>
              <c:numCache>
                <c:formatCode>0.0%;\(0.0%\);\-</c:formatCode>
                <c:ptCount val="7"/>
                <c:pt idx="0">
                  <c:v>5.3446253716280721E-2</c:v>
                </c:pt>
                <c:pt idx="1">
                  <c:v>9.861095454602388E-2</c:v>
                </c:pt>
                <c:pt idx="2">
                  <c:v>0.14304746158733628</c:v>
                </c:pt>
                <c:pt idx="3">
                  <c:v>2.4939744516751024E-2</c:v>
                </c:pt>
                <c:pt idx="4">
                  <c:v>5.1272527799046889E-2</c:v>
                </c:pt>
                <c:pt idx="5">
                  <c:v>2.0678339572572622E-2</c:v>
                </c:pt>
                <c:pt idx="6">
                  <c:v>0.13753167628187848</c:v>
                </c:pt>
              </c:numCache>
            </c:numRef>
          </c:val>
          <c:smooth val="0"/>
          <c:extLst>
            <c:ext xmlns:c16="http://schemas.microsoft.com/office/drawing/2014/chart" uri="{C3380CC4-5D6E-409C-BE32-E72D297353CC}">
              <c16:uniqueId val="{00000000-531A-5D40-ABCC-6AC594C53126}"/>
            </c:ext>
          </c:extLst>
        </c:ser>
        <c:ser>
          <c:idx val="1"/>
          <c:order val="1"/>
          <c:tx>
            <c:strRef>
              <c:f>Dashboard!$B$42</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Dashboard!$C$42:$I$42</c:f>
              <c:numCache>
                <c:formatCode>0.0%;\(0.0%\);\-</c:formatCode>
                <c:ptCount val="7"/>
                <c:pt idx="0">
                  <c:v>8.3942076998697792E-3</c:v>
                </c:pt>
                <c:pt idx="1">
                  <c:v>5.2338484662960885E-2</c:v>
                </c:pt>
                <c:pt idx="2">
                  <c:v>0.17113240711550218</c:v>
                </c:pt>
                <c:pt idx="3">
                  <c:v>3.3183730165464789E-2</c:v>
                </c:pt>
                <c:pt idx="4">
                  <c:v>-2.1423368197289315E-2</c:v>
                </c:pt>
                <c:pt idx="5">
                  <c:v>1.45224835204831E-2</c:v>
                </c:pt>
                <c:pt idx="6">
                  <c:v>4.6893352346003017E-2</c:v>
                </c:pt>
              </c:numCache>
            </c:numRef>
          </c:val>
          <c:smooth val="0"/>
          <c:extLst>
            <c:ext xmlns:c16="http://schemas.microsoft.com/office/drawing/2014/chart" uri="{C3380CC4-5D6E-409C-BE32-E72D297353CC}">
              <c16:uniqueId val="{00000001-531A-5D40-ABCC-6AC594C53126}"/>
            </c:ext>
          </c:extLst>
        </c:ser>
        <c:ser>
          <c:idx val="2"/>
          <c:order val="2"/>
          <c:tx>
            <c:strRef>
              <c:f>Dashboard!$B$43</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Dashboard!$C$43:$I$43</c:f>
              <c:numCache>
                <c:formatCode>0.0%;\(0.0%\);\-</c:formatCode>
                <c:ptCount val="7"/>
                <c:pt idx="0">
                  <c:v>-1.0539725165525296E-2</c:v>
                </c:pt>
                <c:pt idx="1">
                  <c:v>0.12340010815844346</c:v>
                </c:pt>
                <c:pt idx="2">
                  <c:v>0.13223639927107328</c:v>
                </c:pt>
                <c:pt idx="3">
                  <c:v>7.4684767508990432E-2</c:v>
                </c:pt>
                <c:pt idx="4">
                  <c:v>0.11802968754499349</c:v>
                </c:pt>
                <c:pt idx="5">
                  <c:v>5.676752580260476E-2</c:v>
                </c:pt>
                <c:pt idx="6">
                  <c:v>6.2873060161987099E-2</c:v>
                </c:pt>
              </c:numCache>
            </c:numRef>
          </c:val>
          <c:smooth val="0"/>
          <c:extLst>
            <c:ext xmlns:c16="http://schemas.microsoft.com/office/drawing/2014/chart" uri="{C3380CC4-5D6E-409C-BE32-E72D297353CC}">
              <c16:uniqueId val="{00000002-531A-5D40-ABCC-6AC594C53126}"/>
            </c:ext>
          </c:extLst>
        </c:ser>
        <c:dLbls>
          <c:showLegendKey val="0"/>
          <c:showVal val="0"/>
          <c:showCatName val="0"/>
          <c:showSerName val="0"/>
          <c:showPercent val="0"/>
          <c:showBubbleSize val="0"/>
        </c:dLbls>
        <c:hiLowLines>
          <c:spPr>
            <a:ln w="0">
              <a:noFill/>
            </a:ln>
          </c:spPr>
        </c:hiLowLines>
        <c:marker val="1"/>
        <c:smooth val="0"/>
        <c:axId val="97026204"/>
        <c:axId val="96046087"/>
      </c:lineChart>
      <c:catAx>
        <c:axId val="97026204"/>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6046087"/>
        <c:crosses val="autoZero"/>
        <c:auto val="1"/>
        <c:lblAlgn val="ctr"/>
        <c:lblOffset val="100"/>
        <c:noMultiLvlLbl val="0"/>
      </c:catAx>
      <c:valAx>
        <c:axId val="96046087"/>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702620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Return on Equity (%)</a:t>
            </a:r>
          </a:p>
        </c:rich>
      </c:tx>
      <c:overlay val="0"/>
      <c:spPr>
        <a:noFill/>
        <a:ln w="0">
          <a:noFill/>
        </a:ln>
      </c:spPr>
    </c:title>
    <c:autoTitleDeleted val="0"/>
    <c:plotArea>
      <c:layout/>
      <c:lineChart>
        <c:grouping val="standard"/>
        <c:varyColors val="0"/>
        <c:ser>
          <c:idx val="0"/>
          <c:order val="0"/>
          <c:tx>
            <c:strRef>
              <c:f>Dashboard!$B$46</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Dashboard!$C$46:$I$46</c:f>
              <c:numCache>
                <c:formatCode>0.0%;\(0.0%\);\-</c:formatCode>
                <c:ptCount val="7"/>
                <c:pt idx="0">
                  <c:v>0.10707942839968305</c:v>
                </c:pt>
                <c:pt idx="1">
                  <c:v>0.19153620649807199</c:v>
                </c:pt>
                <c:pt idx="2">
                  <c:v>0.37088931598572278</c:v>
                </c:pt>
                <c:pt idx="3">
                  <c:v>6.2244345524542832E-2</c:v>
                </c:pt>
                <c:pt idx="4">
                  <c:v>0.12517786892106805</c:v>
                </c:pt>
                <c:pt idx="5">
                  <c:v>4.4424649253968759E-2</c:v>
                </c:pt>
                <c:pt idx="6">
                  <c:v>0.28413413608541399</c:v>
                </c:pt>
              </c:numCache>
            </c:numRef>
          </c:val>
          <c:smooth val="0"/>
          <c:extLst>
            <c:ext xmlns:c16="http://schemas.microsoft.com/office/drawing/2014/chart" uri="{C3380CC4-5D6E-409C-BE32-E72D297353CC}">
              <c16:uniqueId val="{00000000-6553-3648-B81A-989CBB05C7C2}"/>
            </c:ext>
          </c:extLst>
        </c:ser>
        <c:ser>
          <c:idx val="1"/>
          <c:order val="1"/>
          <c:tx>
            <c:strRef>
              <c:f>Dashboard!$B$47</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Dashboard!$C$47:$I$47</c:f>
              <c:numCache>
                <c:formatCode>0.0%;\(0.0%\);\-</c:formatCode>
                <c:ptCount val="7"/>
                <c:pt idx="0">
                  <c:v>1.5951468067842468E-2</c:v>
                </c:pt>
                <c:pt idx="1">
                  <c:v>0.1108112995515274</c:v>
                </c:pt>
                <c:pt idx="2">
                  <c:v>0.44253677659759577</c:v>
                </c:pt>
                <c:pt idx="3">
                  <c:v>7.4247509965974526E-2</c:v>
                </c:pt>
                <c:pt idx="4">
                  <c:v>-5.0324557680163015E-2</c:v>
                </c:pt>
                <c:pt idx="5">
                  <c:v>3.4647233905072475E-2</c:v>
                </c:pt>
                <c:pt idx="6">
                  <c:v>0.11260963224474864</c:v>
                </c:pt>
              </c:numCache>
            </c:numRef>
          </c:val>
          <c:smooth val="0"/>
          <c:extLst>
            <c:ext xmlns:c16="http://schemas.microsoft.com/office/drawing/2014/chart" uri="{C3380CC4-5D6E-409C-BE32-E72D297353CC}">
              <c16:uniqueId val="{00000001-6553-3648-B81A-989CBB05C7C2}"/>
            </c:ext>
          </c:extLst>
        </c:ser>
        <c:ser>
          <c:idx val="2"/>
          <c:order val="2"/>
          <c:tx>
            <c:strRef>
              <c:f>Dashboard!$B$48</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Dashboard!$C$48:$I$48</c:f>
              <c:numCache>
                <c:formatCode>0.0%;\(0.0%\);\-</c:formatCode>
                <c:ptCount val="7"/>
                <c:pt idx="0">
                  <c:v>-1.2437323296348004E-2</c:v>
                </c:pt>
                <c:pt idx="1">
                  <c:v>0.13344548027647696</c:v>
                </c:pt>
                <c:pt idx="2">
                  <c:v>0.2006532389927361</c:v>
                </c:pt>
                <c:pt idx="3">
                  <c:v>0.10692918523501205</c:v>
                </c:pt>
                <c:pt idx="4">
                  <c:v>0.14317354551652195</c:v>
                </c:pt>
                <c:pt idx="5">
                  <c:v>6.2200050731747017E-2</c:v>
                </c:pt>
                <c:pt idx="6">
                  <c:v>6.8530590019003051E-2</c:v>
                </c:pt>
              </c:numCache>
            </c:numRef>
          </c:val>
          <c:smooth val="0"/>
          <c:extLst>
            <c:ext xmlns:c16="http://schemas.microsoft.com/office/drawing/2014/chart" uri="{C3380CC4-5D6E-409C-BE32-E72D297353CC}">
              <c16:uniqueId val="{00000002-6553-3648-B81A-989CBB05C7C2}"/>
            </c:ext>
          </c:extLst>
        </c:ser>
        <c:dLbls>
          <c:showLegendKey val="0"/>
          <c:showVal val="0"/>
          <c:showCatName val="0"/>
          <c:showSerName val="0"/>
          <c:showPercent val="0"/>
          <c:showBubbleSize val="0"/>
        </c:dLbls>
        <c:hiLowLines>
          <c:spPr>
            <a:ln w="0">
              <a:noFill/>
            </a:ln>
          </c:spPr>
        </c:hiLowLines>
        <c:marker val="1"/>
        <c:smooth val="0"/>
        <c:axId val="72885741"/>
        <c:axId val="55755114"/>
      </c:lineChart>
      <c:catAx>
        <c:axId val="72885741"/>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5755114"/>
        <c:crosses val="autoZero"/>
        <c:auto val="1"/>
        <c:lblAlgn val="ctr"/>
        <c:lblOffset val="100"/>
        <c:noMultiLvlLbl val="0"/>
      </c:catAx>
      <c:valAx>
        <c:axId val="55755114"/>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288574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Debt / Equity (x)</a:t>
            </a:r>
          </a:p>
        </c:rich>
      </c:tx>
      <c:overlay val="0"/>
      <c:spPr>
        <a:noFill/>
        <a:ln w="0">
          <a:noFill/>
        </a:ln>
      </c:spPr>
    </c:title>
    <c:autoTitleDeleted val="0"/>
    <c:plotArea>
      <c:layout/>
      <c:lineChart>
        <c:grouping val="standard"/>
        <c:varyColors val="0"/>
        <c:ser>
          <c:idx val="0"/>
          <c:order val="0"/>
          <c:tx>
            <c:strRef>
              <c:f>Dashboard!$B$51</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Dashboard!$C$51:$I$51</c:f>
              <c:numCache>
                <c:formatCode>0.00\x</c:formatCode>
                <c:ptCount val="7"/>
                <c:pt idx="0">
                  <c:v>1.6782698980846471</c:v>
                </c:pt>
                <c:pt idx="1">
                  <c:v>1.4629905722429293</c:v>
                </c:pt>
                <c:pt idx="2">
                  <c:v>1.0734059467732588</c:v>
                </c:pt>
                <c:pt idx="3">
                  <c:v>1.2307329324910572</c:v>
                </c:pt>
                <c:pt idx="4">
                  <c:v>1.1328071688833383</c:v>
                </c:pt>
                <c:pt idx="5">
                  <c:v>1.2422260239508907</c:v>
                </c:pt>
                <c:pt idx="6">
                  <c:v>0.99257393581401854</c:v>
                </c:pt>
              </c:numCache>
            </c:numRef>
          </c:val>
          <c:smooth val="0"/>
          <c:extLst>
            <c:ext xmlns:c16="http://schemas.microsoft.com/office/drawing/2014/chart" uri="{C3380CC4-5D6E-409C-BE32-E72D297353CC}">
              <c16:uniqueId val="{00000000-7BD7-4C42-BB03-2FFADDF63C6B}"/>
            </c:ext>
          </c:extLst>
        </c:ser>
        <c:ser>
          <c:idx val="1"/>
          <c:order val="1"/>
          <c:tx>
            <c:strRef>
              <c:f>Dashboard!$B$52</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Dashboard!$C$52:$I$52</c:f>
              <c:numCache>
                <c:formatCode>0.00\x</c:formatCode>
                <c:ptCount val="7"/>
                <c:pt idx="0">
                  <c:v>1.5810553126482303</c:v>
                </c:pt>
                <c:pt idx="1">
                  <c:v>1.1921184847216622</c:v>
                </c:pt>
                <c:pt idx="2">
                  <c:v>0.6602529083463704</c:v>
                </c:pt>
                <c:pt idx="3">
                  <c:v>0.82354792927191045</c:v>
                </c:pt>
                <c:pt idx="4">
                  <c:v>0.946177007719608</c:v>
                </c:pt>
                <c:pt idx="5">
                  <c:v>1.0398314658071992</c:v>
                </c:pt>
                <c:pt idx="6">
                  <c:v>0.90421654995490242</c:v>
                </c:pt>
              </c:numCache>
            </c:numRef>
          </c:val>
          <c:smooth val="0"/>
          <c:extLst>
            <c:ext xmlns:c16="http://schemas.microsoft.com/office/drawing/2014/chart" uri="{C3380CC4-5D6E-409C-BE32-E72D297353CC}">
              <c16:uniqueId val="{00000001-7BD7-4C42-BB03-2FFADDF63C6B}"/>
            </c:ext>
          </c:extLst>
        </c:ser>
        <c:ser>
          <c:idx val="2"/>
          <c:order val="2"/>
          <c:tx>
            <c:strRef>
              <c:f>Dashboard!$B$53</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Dashboard!$C$53:$I$53</c:f>
              <c:numCache>
                <c:formatCode>0.00\x</c:formatCode>
                <c:ptCount val="7"/>
                <c:pt idx="0">
                  <c:v>1.1458508753423611</c:v>
                </c:pt>
                <c:pt idx="1">
                  <c:v>0.94012259124485653</c:v>
                </c:pt>
                <c:pt idx="2">
                  <c:v>0.37899702060314405</c:v>
                </c:pt>
                <c:pt idx="3">
                  <c:v>0.33705655806931067</c:v>
                </c:pt>
                <c:pt idx="4">
                  <c:v>0.37169727148269893</c:v>
                </c:pt>
                <c:pt idx="5">
                  <c:v>0.39008428123585359</c:v>
                </c:pt>
                <c:pt idx="6">
                  <c:v>0.4442049937808098</c:v>
                </c:pt>
              </c:numCache>
            </c:numRef>
          </c:val>
          <c:smooth val="0"/>
          <c:extLst>
            <c:ext xmlns:c16="http://schemas.microsoft.com/office/drawing/2014/chart" uri="{C3380CC4-5D6E-409C-BE32-E72D297353CC}">
              <c16:uniqueId val="{00000002-7BD7-4C42-BB03-2FFADDF63C6B}"/>
            </c:ext>
          </c:extLst>
        </c:ser>
        <c:dLbls>
          <c:showLegendKey val="0"/>
          <c:showVal val="0"/>
          <c:showCatName val="0"/>
          <c:showSerName val="0"/>
          <c:showPercent val="0"/>
          <c:showBubbleSize val="0"/>
        </c:dLbls>
        <c:hiLowLines>
          <c:spPr>
            <a:ln w="0">
              <a:noFill/>
            </a:ln>
          </c:spPr>
        </c:hiLowLines>
        <c:marker val="1"/>
        <c:smooth val="0"/>
        <c:axId val="37091052"/>
        <c:axId val="86458803"/>
      </c:lineChart>
      <c:catAx>
        <c:axId val="3709105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6458803"/>
        <c:crosses val="autoZero"/>
        <c:auto val="1"/>
        <c:lblAlgn val="ctr"/>
        <c:lblOffset val="100"/>
        <c:noMultiLvlLbl val="0"/>
      </c:catAx>
      <c:valAx>
        <c:axId val="86458803"/>
        <c:scaling>
          <c:orientation val="minMax"/>
        </c:scaling>
        <c:delete val="0"/>
        <c:axPos val="l"/>
        <c:numFmt formatCode="0.0\x"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709105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Free Cash Flow (Rs Cr)</a:t>
            </a:r>
          </a:p>
        </c:rich>
      </c:tx>
      <c:overlay val="0"/>
      <c:spPr>
        <a:noFill/>
        <a:ln w="0">
          <a:noFill/>
        </a:ln>
      </c:spPr>
    </c:title>
    <c:autoTitleDeleted val="0"/>
    <c:plotArea>
      <c:layout/>
      <c:lineChart>
        <c:grouping val="standard"/>
        <c:varyColors val="0"/>
        <c:ser>
          <c:idx val="0"/>
          <c:order val="0"/>
          <c:tx>
            <c:strRef>
              <c:f>Dashboard!$B$56</c:f>
              <c:strCache>
                <c:ptCount val="1"/>
                <c:pt idx="0">
                  <c:v>JSW</c:v>
                </c:pt>
              </c:strCache>
            </c:strRef>
          </c:tx>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Dashboard!$C$56:$I$56</c:f>
              <c:numCache>
                <c:formatCode>#,##0;\(#,##0\);\-</c:formatCode>
                <c:ptCount val="7"/>
                <c:pt idx="0">
                  <c:v>18</c:v>
                </c:pt>
                <c:pt idx="1">
                  <c:v>7916</c:v>
                </c:pt>
                <c:pt idx="2">
                  <c:v>16222</c:v>
                </c:pt>
                <c:pt idx="3">
                  <c:v>8574</c:v>
                </c:pt>
                <c:pt idx="4">
                  <c:v>-3469</c:v>
                </c:pt>
                <c:pt idx="5">
                  <c:v>8264</c:v>
                </c:pt>
                <c:pt idx="6">
                  <c:v>10610</c:v>
                </c:pt>
              </c:numCache>
            </c:numRef>
          </c:val>
          <c:smooth val="0"/>
          <c:extLst>
            <c:ext xmlns:c16="http://schemas.microsoft.com/office/drawing/2014/chart" uri="{C3380CC4-5D6E-409C-BE32-E72D297353CC}">
              <c16:uniqueId val="{00000000-AED6-964B-A7AB-531D13F2DA82}"/>
            </c:ext>
          </c:extLst>
        </c:ser>
        <c:ser>
          <c:idx val="1"/>
          <c:order val="1"/>
          <c:tx>
            <c:strRef>
              <c:f>Dashboard!$B$57</c:f>
              <c:strCache>
                <c:ptCount val="1"/>
                <c:pt idx="0">
                  <c:v>TATA</c:v>
                </c:pt>
              </c:strCache>
            </c:strRef>
          </c:tx>
          <c:spPr>
            <a:ln w="21960">
              <a:solidFill>
                <a:srgbClr val="ED7D31"/>
              </a:solidFill>
              <a:round/>
            </a:ln>
          </c:spPr>
          <c:marker>
            <c:symbol val="circle"/>
            <c:size val="5"/>
            <c:spPr>
              <a:solidFill>
                <a:srgbClr val="ED7D3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Dashboard!$C$57:$I$57</c:f>
              <c:numCache>
                <c:formatCode>#,##0;\(#,##0\);\-</c:formatCode>
                <c:ptCount val="7"/>
                <c:pt idx="0">
                  <c:v>10156.720000000001</c:v>
                </c:pt>
                <c:pt idx="1">
                  <c:v>37792.68</c:v>
                </c:pt>
                <c:pt idx="2">
                  <c:v>34427.99</c:v>
                </c:pt>
                <c:pt idx="3">
                  <c:v>7869.0800000000017</c:v>
                </c:pt>
                <c:pt idx="4">
                  <c:v>2568.6699999999983</c:v>
                </c:pt>
                <c:pt idx="5">
                  <c:v>8730.5800000000017</c:v>
                </c:pt>
                <c:pt idx="6">
                  <c:v>21906.46</c:v>
                </c:pt>
              </c:numCache>
            </c:numRef>
          </c:val>
          <c:smooth val="0"/>
          <c:extLst>
            <c:ext xmlns:c16="http://schemas.microsoft.com/office/drawing/2014/chart" uri="{C3380CC4-5D6E-409C-BE32-E72D297353CC}">
              <c16:uniqueId val="{00000001-AED6-964B-A7AB-531D13F2DA82}"/>
            </c:ext>
          </c:extLst>
        </c:ser>
        <c:ser>
          <c:idx val="2"/>
          <c:order val="2"/>
          <c:tx>
            <c:strRef>
              <c:f>Dashboard!$B$58</c:f>
              <c:strCache>
                <c:ptCount val="1"/>
                <c:pt idx="0">
                  <c:v>JSPL</c:v>
                </c:pt>
              </c:strCache>
            </c:strRef>
          </c:tx>
          <c:spPr>
            <a:ln w="21960">
              <a:solidFill>
                <a:srgbClr val="A9D18E"/>
              </a:solidFill>
              <a:round/>
            </a:ln>
          </c:spPr>
          <c:marker>
            <c:symbol val="circle"/>
            <c:size val="5"/>
            <c:spPr>
              <a:solidFill>
                <a:srgbClr val="A9D18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Dashboard!$C$29:$I$29</c:f>
              <c:strCache>
                <c:ptCount val="7"/>
                <c:pt idx="0">
                  <c:v>FY2020</c:v>
                </c:pt>
                <c:pt idx="1">
                  <c:v>FY2021</c:v>
                </c:pt>
                <c:pt idx="2">
                  <c:v>FY2022</c:v>
                </c:pt>
                <c:pt idx="3">
                  <c:v>FY2023</c:v>
                </c:pt>
                <c:pt idx="4">
                  <c:v>FY2024</c:v>
                </c:pt>
                <c:pt idx="5">
                  <c:v>FY2025</c:v>
                </c:pt>
                <c:pt idx="6">
                  <c:v>FY2026</c:v>
                </c:pt>
              </c:strCache>
            </c:strRef>
          </c:cat>
          <c:val>
            <c:numRef>
              <c:f>Dashboard!$C$58:$I$58</c:f>
              <c:numCache>
                <c:formatCode>#,##0;\(#,##0\);\-</c:formatCode>
                <c:ptCount val="7"/>
                <c:pt idx="0">
                  <c:v>7308.32</c:v>
                </c:pt>
                <c:pt idx="1">
                  <c:v>11123.93</c:v>
                </c:pt>
                <c:pt idx="2">
                  <c:v>13175.77</c:v>
                </c:pt>
                <c:pt idx="3">
                  <c:v>945.40999999999985</c:v>
                </c:pt>
                <c:pt idx="4">
                  <c:v>-2418.6499999999996</c:v>
                </c:pt>
                <c:pt idx="5">
                  <c:v>333.95999999999913</c:v>
                </c:pt>
                <c:pt idx="6">
                  <c:v>-2342.7700000000004</c:v>
                </c:pt>
              </c:numCache>
            </c:numRef>
          </c:val>
          <c:smooth val="0"/>
          <c:extLst>
            <c:ext xmlns:c16="http://schemas.microsoft.com/office/drawing/2014/chart" uri="{C3380CC4-5D6E-409C-BE32-E72D297353CC}">
              <c16:uniqueId val="{00000002-AED6-964B-A7AB-531D13F2DA82}"/>
            </c:ext>
          </c:extLst>
        </c:ser>
        <c:dLbls>
          <c:showLegendKey val="0"/>
          <c:showVal val="0"/>
          <c:showCatName val="0"/>
          <c:showSerName val="0"/>
          <c:showPercent val="0"/>
          <c:showBubbleSize val="0"/>
        </c:dLbls>
        <c:hiLowLines>
          <c:spPr>
            <a:ln w="0">
              <a:noFill/>
            </a:ln>
          </c:spPr>
        </c:hiLowLines>
        <c:marker val="1"/>
        <c:smooth val="0"/>
        <c:axId val="97931193"/>
        <c:axId val="73924851"/>
      </c:lineChart>
      <c:catAx>
        <c:axId val="9793119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3924851"/>
        <c:crosses val="autoZero"/>
        <c:auto val="1"/>
        <c:lblAlgn val="ctr"/>
        <c:lblOffset val="100"/>
        <c:noMultiLvlLbl val="0"/>
      </c:catAx>
      <c:valAx>
        <c:axId val="73924851"/>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793119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Weighted Composite Investment Score (FY2026)</a:t>
            </a:r>
          </a:p>
        </c:rich>
      </c:tx>
      <c:overlay val="0"/>
      <c:spPr>
        <a:noFill/>
        <a:ln w="0">
          <a:noFill/>
        </a:ln>
      </c:spPr>
    </c:title>
    <c:autoTitleDeleted val="0"/>
    <c:plotArea>
      <c:layout/>
      <c:barChart>
        <c:barDir val="col"/>
        <c:grouping val="clustered"/>
        <c:varyColors val="0"/>
        <c:ser>
          <c:idx val="0"/>
          <c:order val="0"/>
          <c:spPr>
            <a:solidFill>
              <a:srgbClr val="4472C4"/>
            </a:solidFill>
            <a:ln w="6480">
              <a:solidFill>
                <a:srgbClr val="FFFFFF"/>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Dashboard!$D$62:$F$62</c:f>
              <c:strCache>
                <c:ptCount val="2"/>
                <c:pt idx="0">
                  <c:v>JSW Steel</c:v>
                </c:pt>
                <c:pt idx="1">
                  <c:v>Tata Steel</c:v>
                </c:pt>
              </c:strCache>
            </c:strRef>
          </c:cat>
          <c:val>
            <c:numRef>
              <c:f>Dashboard!$D$70</c:f>
              <c:numCache>
                <c:formatCode>0.0</c:formatCode>
                <c:ptCount val="1"/>
                <c:pt idx="0">
                  <c:v>57.933042816303065</c:v>
                </c:pt>
              </c:numCache>
            </c:numRef>
          </c:val>
          <c:extLst>
            <c:ext xmlns:c16="http://schemas.microsoft.com/office/drawing/2014/chart" uri="{C3380CC4-5D6E-409C-BE32-E72D297353CC}">
              <c16:uniqueId val="{00000000-5379-F844-AEE7-4009D9A167A3}"/>
            </c:ext>
          </c:extLst>
        </c:ser>
        <c:ser>
          <c:idx val="1"/>
          <c:order val="1"/>
          <c:spPr>
            <a:solidFill>
              <a:srgbClr val="ED7D31"/>
            </a:solidFill>
            <a:ln w="6480">
              <a:solidFill>
                <a:srgbClr val="FFFFFF"/>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Dashboard!$D$62:$F$62</c:f>
              <c:strCache>
                <c:ptCount val="2"/>
                <c:pt idx="0">
                  <c:v>JSW Steel</c:v>
                </c:pt>
                <c:pt idx="1">
                  <c:v>Tata Steel</c:v>
                </c:pt>
              </c:strCache>
            </c:strRef>
          </c:cat>
          <c:val>
            <c:numRef>
              <c:f>Dashboard!$E$70</c:f>
              <c:numCache>
                <c:formatCode>0.0</c:formatCode>
                <c:ptCount val="1"/>
                <c:pt idx="0">
                  <c:v>25.846559980702068</c:v>
                </c:pt>
              </c:numCache>
            </c:numRef>
          </c:val>
          <c:extLst>
            <c:ext xmlns:c16="http://schemas.microsoft.com/office/drawing/2014/chart" uri="{C3380CC4-5D6E-409C-BE32-E72D297353CC}">
              <c16:uniqueId val="{00000001-5379-F844-AEE7-4009D9A167A3}"/>
            </c:ext>
          </c:extLst>
        </c:ser>
        <c:ser>
          <c:idx val="2"/>
          <c:order val="2"/>
          <c:spPr>
            <a:solidFill>
              <a:srgbClr val="A5A5A5"/>
            </a:solidFill>
            <a:ln w="6480">
              <a:solidFill>
                <a:srgbClr val="FFFFFF"/>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Dashboard!$D$62:$F$62</c:f>
              <c:strCache>
                <c:ptCount val="2"/>
                <c:pt idx="0">
                  <c:v>JSW Steel</c:v>
                </c:pt>
                <c:pt idx="1">
                  <c:v>Tata Steel</c:v>
                </c:pt>
              </c:strCache>
            </c:strRef>
          </c:cat>
          <c:val>
            <c:numRef>
              <c:f>Dashboard!$F$70</c:f>
              <c:numCache>
                <c:formatCode>0.0</c:formatCode>
                <c:ptCount val="1"/>
                <c:pt idx="0">
                  <c:v>46.634319968418865</c:v>
                </c:pt>
              </c:numCache>
            </c:numRef>
          </c:val>
          <c:extLst>
            <c:ext xmlns:c16="http://schemas.microsoft.com/office/drawing/2014/chart" uri="{C3380CC4-5D6E-409C-BE32-E72D297353CC}">
              <c16:uniqueId val="{00000002-5379-F844-AEE7-4009D9A167A3}"/>
            </c:ext>
          </c:extLst>
        </c:ser>
        <c:dLbls>
          <c:showLegendKey val="0"/>
          <c:showVal val="0"/>
          <c:showCatName val="0"/>
          <c:showSerName val="0"/>
          <c:showPercent val="0"/>
          <c:showBubbleSize val="0"/>
        </c:dLbls>
        <c:gapWidth val="150"/>
        <c:axId val="76870542"/>
        <c:axId val="99494846"/>
      </c:barChart>
      <c:catAx>
        <c:axId val="7687054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9494846"/>
        <c:crosses val="autoZero"/>
        <c:auto val="1"/>
        <c:lblAlgn val="ctr"/>
        <c:lblOffset val="100"/>
        <c:noMultiLvlLbl val="0"/>
      </c:catAx>
      <c:valAx>
        <c:axId val="99494846"/>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Score (0-100)</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68705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11</xdr:col>
      <xdr:colOff>0</xdr:colOff>
      <xdr:row>3</xdr:row>
      <xdr:rowOff>0</xdr:rowOff>
    </xdr:from>
    <xdr:ext cx="5400000" cy="2880000"/>
    <xdr:graphicFrame macro="">
      <xdr:nvGraphicFramePr>
        <xdr:cNvPr id="2" name="Chart 1">
          <a:extLst>
            <a:ext uri="{FF2B5EF4-FFF2-40B4-BE49-F238E27FC236}">
              <a16:creationId xmlns:a16="http://schemas.microsoft.com/office/drawing/2014/main" id="{2D52D9FD-055D-9E4F-B5FE-4D4315F7F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19</xdr:row>
      <xdr:rowOff>0</xdr:rowOff>
    </xdr:from>
    <xdr:ext cx="5400000" cy="2880000"/>
    <xdr:graphicFrame macro="">
      <xdr:nvGraphicFramePr>
        <xdr:cNvPr id="3" name="Chart 2">
          <a:extLst>
            <a:ext uri="{FF2B5EF4-FFF2-40B4-BE49-F238E27FC236}">
              <a16:creationId xmlns:a16="http://schemas.microsoft.com/office/drawing/2014/main" id="{A070DCE9-8D4F-EF4D-A2B5-2D308D573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11</xdr:col>
      <xdr:colOff>0</xdr:colOff>
      <xdr:row>35</xdr:row>
      <xdr:rowOff>0</xdr:rowOff>
    </xdr:from>
    <xdr:ext cx="5400000" cy="2520000"/>
    <xdr:graphicFrame macro="">
      <xdr:nvGraphicFramePr>
        <xdr:cNvPr id="4" name="Chart 3">
          <a:extLst>
            <a:ext uri="{FF2B5EF4-FFF2-40B4-BE49-F238E27FC236}">
              <a16:creationId xmlns:a16="http://schemas.microsoft.com/office/drawing/2014/main" id="{7051100D-14F7-304C-AD77-052A4B0B6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27</xdr:row>
      <xdr:rowOff>0</xdr:rowOff>
    </xdr:from>
    <xdr:ext cx="6199560" cy="2693260"/>
    <xdr:graphicFrame macro="">
      <xdr:nvGraphicFramePr>
        <xdr:cNvPr id="2" name="Chart 1">
          <a:extLst>
            <a:ext uri="{FF2B5EF4-FFF2-40B4-BE49-F238E27FC236}">
              <a16:creationId xmlns:a16="http://schemas.microsoft.com/office/drawing/2014/main" id="{D60C2059-E126-B746-9EF0-40FB7BE8F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0</xdr:colOff>
      <xdr:row>27</xdr:row>
      <xdr:rowOff>0</xdr:rowOff>
    </xdr:from>
    <xdr:ext cx="6199920" cy="2693260"/>
    <xdr:graphicFrame macro="">
      <xdr:nvGraphicFramePr>
        <xdr:cNvPr id="3" name="Chart 2">
          <a:extLst>
            <a:ext uri="{FF2B5EF4-FFF2-40B4-BE49-F238E27FC236}">
              <a16:creationId xmlns:a16="http://schemas.microsoft.com/office/drawing/2014/main" id="{A31DC6C4-F2C8-F842-A5EA-4BCCCCBB2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43</xdr:row>
      <xdr:rowOff>0</xdr:rowOff>
    </xdr:from>
    <xdr:ext cx="6199560" cy="2699760"/>
    <xdr:graphicFrame macro="">
      <xdr:nvGraphicFramePr>
        <xdr:cNvPr id="4" name="Chart 3">
          <a:extLst>
            <a:ext uri="{FF2B5EF4-FFF2-40B4-BE49-F238E27FC236}">
              <a16:creationId xmlns:a16="http://schemas.microsoft.com/office/drawing/2014/main" id="{6A4CCAA2-ED19-BC4A-A203-92E9D2ACB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17</xdr:col>
      <xdr:colOff>0</xdr:colOff>
      <xdr:row>43</xdr:row>
      <xdr:rowOff>0</xdr:rowOff>
    </xdr:from>
    <xdr:ext cx="6199920" cy="2699760"/>
    <xdr:graphicFrame macro="">
      <xdr:nvGraphicFramePr>
        <xdr:cNvPr id="5" name="Chart 4">
          <a:extLst>
            <a:ext uri="{FF2B5EF4-FFF2-40B4-BE49-F238E27FC236}">
              <a16:creationId xmlns:a16="http://schemas.microsoft.com/office/drawing/2014/main" id="{E2B39281-1EF8-1C47-8B96-79E1916E1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10</xdr:col>
      <xdr:colOff>0</xdr:colOff>
      <xdr:row>59</xdr:row>
      <xdr:rowOff>0</xdr:rowOff>
    </xdr:from>
    <xdr:ext cx="6199560" cy="2693260"/>
    <xdr:graphicFrame macro="">
      <xdr:nvGraphicFramePr>
        <xdr:cNvPr id="6" name="Chart 5">
          <a:extLst>
            <a:ext uri="{FF2B5EF4-FFF2-40B4-BE49-F238E27FC236}">
              <a16:creationId xmlns:a16="http://schemas.microsoft.com/office/drawing/2014/main" id="{D7B79B68-ADC6-234E-A8AF-4BEEEFCCA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17</xdr:col>
      <xdr:colOff>0</xdr:colOff>
      <xdr:row>59</xdr:row>
      <xdr:rowOff>0</xdr:rowOff>
    </xdr:from>
    <xdr:ext cx="6199920" cy="2693260"/>
    <xdr:graphicFrame macro="">
      <xdr:nvGraphicFramePr>
        <xdr:cNvPr id="7" name="Chart 6">
          <a:extLst>
            <a:ext uri="{FF2B5EF4-FFF2-40B4-BE49-F238E27FC236}">
              <a16:creationId xmlns:a16="http://schemas.microsoft.com/office/drawing/2014/main" id="{62184A86-38C8-FB45-A0D1-5E4714E77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0</xdr:colOff>
      <xdr:row>93</xdr:row>
      <xdr:rowOff>0</xdr:rowOff>
    </xdr:from>
    <xdr:ext cx="6199560" cy="2879820"/>
    <xdr:graphicFrame macro="">
      <xdr:nvGraphicFramePr>
        <xdr:cNvPr id="8" name="Chart 7">
          <a:extLst>
            <a:ext uri="{FF2B5EF4-FFF2-40B4-BE49-F238E27FC236}">
              <a16:creationId xmlns:a16="http://schemas.microsoft.com/office/drawing/2014/main" id="{30625011-CC86-4649-834F-57E325847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eshantandon/Library/Containers/net.whatsapp.WhatsApp/Data/tmp/documents/3B5A0197-7850-4C62-BCCC-BDDFA6B752E9/Steel_Companies_Investor_Analysis_Completed_with_Comparison%20(1).xlsx" TargetMode="External"/><Relationship Id="rId1" Type="http://schemas.openxmlformats.org/officeDocument/2006/relationships/externalLinkPath" Target="/Users/eshantandon/Library/Containers/net.whatsapp.WhatsApp/Data/tmp/documents/3B5A0197-7850-4C62-BCCC-BDDFA6B752E9/Steel_Companies_Investor_Analysis_Completed_with_Comparison%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eshantandon/Desktop/Steel_Investor_Dashboard.xlsx" TargetMode="External"/><Relationship Id="rId1" Type="http://schemas.openxmlformats.org/officeDocument/2006/relationships/externalLinkPath" Target="Steel_Investor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P&amp;L"/>
      <sheetName val="BALANCE SHEET"/>
      <sheetName val="CASH FLOW "/>
      <sheetName val="RATIOS "/>
      <sheetName val="Ratio Dupont "/>
      <sheetName val="Operational_Metrics"/>
      <sheetName val="Formula Guide"/>
    </sheetNames>
    <sheetDataSet>
      <sheetData sheetId="0"/>
      <sheetData sheetId="1"/>
      <sheetData sheetId="2">
        <row r="8">
          <cell r="I8">
            <v>0.98604359416653597</v>
          </cell>
        </row>
        <row r="24">
          <cell r="I24">
            <v>0.15104880271787785</v>
          </cell>
        </row>
        <row r="40">
          <cell r="I40">
            <v>-727.19</v>
          </cell>
        </row>
      </sheetData>
      <sheetData sheetId="3">
        <row r="22">
          <cell r="I22">
            <v>0.68779713563105904</v>
          </cell>
          <cell r="R22">
            <v>0.782895426876422</v>
          </cell>
          <cell r="AA22">
            <v>0.54749713575898096</v>
          </cell>
        </row>
        <row r="25">
          <cell r="I25">
            <v>0.99257393581401854</v>
          </cell>
          <cell r="R25">
            <v>0.90421654995490242</v>
          </cell>
          <cell r="AA25">
            <v>0.4442049937808098</v>
          </cell>
        </row>
        <row r="27">
          <cell r="I27">
            <v>3.3705538962802062</v>
          </cell>
          <cell r="R27">
            <v>2.6892319730417982</v>
          </cell>
          <cell r="AA27">
            <v>2.3298990425686497</v>
          </cell>
        </row>
        <row r="31">
          <cell r="I31">
            <v>2.1822676334871458</v>
          </cell>
          <cell r="R31">
            <v>3.1251210398685094</v>
          </cell>
          <cell r="AA31">
            <v>4.3073108977740242</v>
          </cell>
        </row>
        <row r="34">
          <cell r="I34">
            <v>0.10001117421383525</v>
          </cell>
          <cell r="R34">
            <v>3.806409111475853E-2</v>
          </cell>
          <cell r="AA34">
            <v>3.6650592926151006E-2</v>
          </cell>
        </row>
        <row r="35">
          <cell r="I35">
            <v>0.13753167628187848</v>
          </cell>
          <cell r="R35">
            <v>4.6893352346003017E-2</v>
          </cell>
          <cell r="AA35">
            <v>6.2873060161987099E-2</v>
          </cell>
        </row>
        <row r="37">
          <cell r="I37">
            <v>0.28413413608541399</v>
          </cell>
          <cell r="R37">
            <v>0.11260963224474867</v>
          </cell>
          <cell r="AA37">
            <v>4.6271092039322677E-2</v>
          </cell>
        </row>
        <row r="42">
          <cell r="I42">
            <v>0.20350255993109712</v>
          </cell>
          <cell r="R42">
            <v>0.51547655372774503</v>
          </cell>
          <cell r="AA42">
            <v>-0.33441827205569863</v>
          </cell>
        </row>
        <row r="44">
          <cell r="I44">
            <v>0.12105461799752</v>
          </cell>
          <cell r="R44">
            <v>9.4367475066978984E-2</v>
          </cell>
          <cell r="AA44">
            <v>8.4262326056475698E-2</v>
          </cell>
        </row>
        <row r="46">
          <cell r="I46">
            <v>0.25326754606786828</v>
          </cell>
          <cell r="R46">
            <v>0.37956075273798878</v>
          </cell>
          <cell r="AA46">
            <v>0.31863659382871395</v>
          </cell>
        </row>
        <row r="47">
          <cell r="I47">
            <v>1.7296107825608582</v>
          </cell>
          <cell r="R47">
            <v>2.6648776409788719</v>
          </cell>
          <cell r="AA47">
            <v>0.75460668272755838</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P&amp;L"/>
      <sheetName val="BALANCE SHEET"/>
      <sheetName val="CASH FLOW "/>
      <sheetName val="RATIOS "/>
      <sheetName val="Ratio Dupont "/>
      <sheetName val="Operational_Metrics"/>
    </sheetNames>
    <sheetDataSet>
      <sheetData sheetId="0">
        <row r="2">
          <cell r="C2">
            <v>73326</v>
          </cell>
          <cell r="D2">
            <v>79839</v>
          </cell>
          <cell r="E2">
            <v>146371</v>
          </cell>
          <cell r="F2">
            <v>165960</v>
          </cell>
          <cell r="G2">
            <v>175006</v>
          </cell>
          <cell r="H2">
            <v>168824</v>
          </cell>
          <cell r="I2">
            <v>185470</v>
          </cell>
          <cell r="K2">
            <v>0.18361842389693006</v>
          </cell>
          <cell r="P2">
            <v>139816.65</v>
          </cell>
          <cell r="Q2">
            <v>156477.4</v>
          </cell>
          <cell r="R2">
            <v>243959.17</v>
          </cell>
          <cell r="S2">
            <v>243352.69</v>
          </cell>
          <cell r="T2">
            <v>229170.78</v>
          </cell>
          <cell r="U2">
            <v>218542.51</v>
          </cell>
          <cell r="V2">
            <v>232139.94</v>
          </cell>
          <cell r="X2">
            <v>8.2080695701207018E-2</v>
          </cell>
          <cell r="AC2">
            <v>37923.19</v>
          </cell>
          <cell r="AD2">
            <v>34578.9</v>
          </cell>
          <cell r="AE2">
            <v>51165.64</v>
          </cell>
          <cell r="AF2">
            <v>53211.519999999997</v>
          </cell>
          <cell r="AG2">
            <v>50354.45</v>
          </cell>
          <cell r="AH2">
            <v>50128.66</v>
          </cell>
          <cell r="AI2">
            <v>53454.85</v>
          </cell>
          <cell r="AK2">
            <v>9.1026221115408479E-2</v>
          </cell>
        </row>
        <row r="13">
          <cell r="I13">
            <v>29464</v>
          </cell>
          <cell r="V13">
            <v>34352.44</v>
          </cell>
          <cell r="AI13">
            <v>9704.0899999999965</v>
          </cell>
        </row>
        <row r="14">
          <cell r="C14">
            <v>0.16110247388375201</v>
          </cell>
          <cell r="D14">
            <v>0.25273362642317665</v>
          </cell>
          <cell r="E14">
            <v>0.26722506507436583</v>
          </cell>
          <cell r="F14">
            <v>0.11129187756085804</v>
          </cell>
          <cell r="G14">
            <v>0.16089162657280323</v>
          </cell>
          <cell r="H14">
            <v>0.134607638724352</v>
          </cell>
          <cell r="I14">
            <v>0.15886127136464118</v>
          </cell>
          <cell r="P14">
            <v>0.12489971687921288</v>
          </cell>
          <cell r="Q14">
            <v>0.19494355095368401</v>
          </cell>
          <cell r="R14">
            <v>0.26024826203499546</v>
          </cell>
          <cell r="S14">
            <v>0.13272982517678356</v>
          </cell>
          <cell r="T14">
            <v>9.7080090227907825E-2</v>
          </cell>
          <cell r="U14">
            <v>0.11575985834517967</v>
          </cell>
          <cell r="V14">
            <v>0.14798160109802735</v>
          </cell>
          <cell r="AC14">
            <v>0.18012857040771102</v>
          </cell>
          <cell r="AD14">
            <v>0.3790392406930238</v>
          </cell>
          <cell r="AE14">
            <v>0.30408922863077642</v>
          </cell>
          <cell r="AF14">
            <v>0.18683811325066443</v>
          </cell>
          <cell r="AG14">
            <v>0.2025950040165268</v>
          </cell>
          <cell r="AH14">
            <v>0.18927874792583724</v>
          </cell>
          <cell r="AI14">
            <v>0.18153806436646996</v>
          </cell>
        </row>
        <row r="21">
          <cell r="I21">
            <v>2.1822676334871458</v>
          </cell>
          <cell r="V21">
            <v>3.1251210398685094</v>
          </cell>
          <cell r="AI21">
            <v>4.3073108977740242</v>
          </cell>
        </row>
        <row r="27">
          <cell r="C27">
            <v>3919</v>
          </cell>
          <cell r="D27">
            <v>7873</v>
          </cell>
          <cell r="E27">
            <v>20938</v>
          </cell>
          <cell r="F27">
            <v>4139</v>
          </cell>
          <cell r="G27">
            <v>8973</v>
          </cell>
          <cell r="H27">
            <v>3491</v>
          </cell>
          <cell r="I27">
            <v>25508</v>
          </cell>
          <cell r="P27">
            <v>1173.6499999999978</v>
          </cell>
          <cell r="Q27">
            <v>8189.7899999999954</v>
          </cell>
          <cell r="R27">
            <v>41749.320000000007</v>
          </cell>
          <cell r="S27">
            <v>8075.3500000000022</v>
          </cell>
          <cell r="T27">
            <v>-4909.609999999986</v>
          </cell>
          <cell r="U27">
            <v>3173.7800000000134</v>
          </cell>
          <cell r="V27">
            <v>10885.82</v>
          </cell>
          <cell r="AC27">
            <v>-399.69999999999726</v>
          </cell>
          <cell r="AD27">
            <v>4267.0400000000009</v>
          </cell>
          <cell r="AE27">
            <v>6765.9599999999973</v>
          </cell>
          <cell r="AF27">
            <v>3974.0899999999947</v>
          </cell>
          <cell r="AG27">
            <v>5943.319999999997</v>
          </cell>
          <cell r="AH27">
            <v>2845.6800000000012</v>
          </cell>
          <cell r="AI27">
            <v>3360.8699999999963</v>
          </cell>
        </row>
        <row r="29">
          <cell r="C29">
            <v>5.3446253716280721E-2</v>
          </cell>
          <cell r="D29">
            <v>9.861095454602388E-2</v>
          </cell>
          <cell r="E29">
            <v>0.14304746158733628</v>
          </cell>
          <cell r="F29">
            <v>2.4939744516751024E-2</v>
          </cell>
          <cell r="G29">
            <v>5.1272527799046889E-2</v>
          </cell>
          <cell r="H29">
            <v>2.0678339572572622E-2</v>
          </cell>
          <cell r="I29">
            <v>0.13753167628187848</v>
          </cell>
          <cell r="P29">
            <v>8.3942076998697792E-3</v>
          </cell>
          <cell r="Q29">
            <v>5.2338484662960885E-2</v>
          </cell>
          <cell r="R29">
            <v>0.17113240711550218</v>
          </cell>
          <cell r="S29">
            <v>3.3183730165464789E-2</v>
          </cell>
          <cell r="T29">
            <v>-2.1423368197289315E-2</v>
          </cell>
          <cell r="U29">
            <v>1.45224835204831E-2</v>
          </cell>
          <cell r="V29">
            <v>4.6893352346003017E-2</v>
          </cell>
          <cell r="AC29">
            <v>-1.0539725165525296E-2</v>
          </cell>
          <cell r="AD29">
            <v>0.12340010815844346</v>
          </cell>
          <cell r="AE29">
            <v>0.13223639927107328</v>
          </cell>
          <cell r="AF29">
            <v>7.4684767508990432E-2</v>
          </cell>
          <cell r="AG29">
            <v>0.11802968754499349</v>
          </cell>
          <cell r="AH29">
            <v>5.676752580260476E-2</v>
          </cell>
          <cell r="AI29">
            <v>6.2873060161987099E-2</v>
          </cell>
        </row>
        <row r="30">
          <cell r="I30">
            <v>104.30586792067101</v>
          </cell>
          <cell r="V30">
            <v>8.7201666199383201</v>
          </cell>
          <cell r="AI30">
            <v>32.946475835702302</v>
          </cell>
        </row>
        <row r="32">
          <cell r="I32">
            <v>10.7616189038733</v>
          </cell>
          <cell r="V32">
            <v>22.001873170785501</v>
          </cell>
          <cell r="AI32">
            <v>33.785100584075103</v>
          </cell>
        </row>
        <row r="34">
          <cell r="I34">
            <v>274507.375</v>
          </cell>
          <cell r="V34">
            <v>239508.43100000001</v>
          </cell>
          <cell r="AI34">
            <v>113547.33100000001</v>
          </cell>
        </row>
      </sheetData>
      <sheetData sheetId="1">
        <row r="3">
          <cell r="C3">
            <v>301</v>
          </cell>
          <cell r="D3">
            <v>302</v>
          </cell>
          <cell r="E3">
            <v>301</v>
          </cell>
          <cell r="F3">
            <v>301</v>
          </cell>
          <cell r="G3">
            <v>305</v>
          </cell>
          <cell r="H3">
            <v>305</v>
          </cell>
          <cell r="I3">
            <v>305</v>
          </cell>
        </row>
        <row r="4">
          <cell r="C4">
            <v>36298</v>
          </cell>
          <cell r="D4">
            <v>45308</v>
          </cell>
          <cell r="E4">
            <v>66996</v>
          </cell>
          <cell r="F4">
            <v>65394</v>
          </cell>
          <cell r="G4">
            <v>77364</v>
          </cell>
          <cell r="H4">
            <v>79191</v>
          </cell>
          <cell r="I4">
            <v>99748</v>
          </cell>
        </row>
        <row r="5">
          <cell r="I5">
            <v>99310</v>
          </cell>
        </row>
        <row r="22">
          <cell r="C22">
            <v>1144.95</v>
          </cell>
          <cell r="D22">
            <v>1197.6099999999999</v>
          </cell>
          <cell r="E22">
            <v>1221.21</v>
          </cell>
          <cell r="F22">
            <v>1221.24</v>
          </cell>
          <cell r="G22">
            <v>1247.44</v>
          </cell>
          <cell r="H22">
            <v>1247.44</v>
          </cell>
          <cell r="I22">
            <v>1247.44</v>
          </cell>
        </row>
        <row r="23">
          <cell r="C23">
            <v>72431.350000000006</v>
          </cell>
          <cell r="D23">
            <v>73041.16</v>
          </cell>
          <cell r="E23">
            <v>113221.83</v>
          </cell>
          <cell r="F23">
            <v>101860.86</v>
          </cell>
          <cell r="G23">
            <v>90788.32</v>
          </cell>
          <cell r="H23">
            <v>89922.19</v>
          </cell>
          <cell r="I23">
            <v>100920.21</v>
          </cell>
        </row>
        <row r="24">
          <cell r="I24">
            <v>92381.68</v>
          </cell>
        </row>
        <row r="41">
          <cell r="C41">
            <v>102</v>
          </cell>
          <cell r="D41">
            <v>102</v>
          </cell>
          <cell r="E41">
            <v>101.07</v>
          </cell>
          <cell r="F41">
            <v>100.5</v>
          </cell>
          <cell r="G41">
            <v>100.24</v>
          </cell>
          <cell r="H41">
            <v>101.18</v>
          </cell>
          <cell r="I41">
            <v>101.75</v>
          </cell>
        </row>
        <row r="42">
          <cell r="C42">
            <v>32035.14</v>
          </cell>
          <cell r="D42">
            <v>31712.67</v>
          </cell>
          <cell r="E42">
            <v>35523.589999999997</v>
          </cell>
          <cell r="F42">
            <v>38606.089999999997</v>
          </cell>
          <cell r="G42">
            <v>44215.77</v>
          </cell>
          <cell r="H42">
            <v>47083.7</v>
          </cell>
          <cell r="I42">
            <v>50797.16</v>
          </cell>
        </row>
        <row r="43">
          <cell r="I43">
            <v>22609.55</v>
          </cell>
        </row>
      </sheetData>
      <sheetData sheetId="2">
        <row r="3">
          <cell r="C3">
            <v>12785</v>
          </cell>
          <cell r="D3">
            <v>18831</v>
          </cell>
          <cell r="E3">
            <v>26270</v>
          </cell>
          <cell r="F3">
            <v>23323</v>
          </cell>
          <cell r="G3">
            <v>12078</v>
          </cell>
          <cell r="H3">
            <v>20899</v>
          </cell>
          <cell r="I3">
            <v>25152</v>
          </cell>
        </row>
        <row r="11">
          <cell r="C11">
            <v>12767</v>
          </cell>
          <cell r="D11">
            <v>10915</v>
          </cell>
          <cell r="E11">
            <v>10048</v>
          </cell>
          <cell r="F11">
            <v>14749</v>
          </cell>
          <cell r="G11">
            <v>15547</v>
          </cell>
          <cell r="H11">
            <v>12635</v>
          </cell>
          <cell r="I11">
            <v>14542</v>
          </cell>
        </row>
        <row r="20">
          <cell r="C20">
            <v>20168.72</v>
          </cell>
          <cell r="D20">
            <v>44326.68</v>
          </cell>
          <cell r="E20">
            <v>44380.99</v>
          </cell>
          <cell r="F20">
            <v>21683.08</v>
          </cell>
          <cell r="G20">
            <v>20300.669999999998</v>
          </cell>
          <cell r="H20">
            <v>23137.58</v>
          </cell>
          <cell r="I20">
            <v>35064.46</v>
          </cell>
        </row>
        <row r="28">
          <cell r="C28">
            <v>10012</v>
          </cell>
          <cell r="D28">
            <v>6534</v>
          </cell>
          <cell r="E28">
            <v>9953</v>
          </cell>
          <cell r="F28">
            <v>13814</v>
          </cell>
          <cell r="G28">
            <v>17732</v>
          </cell>
          <cell r="H28">
            <v>14407</v>
          </cell>
          <cell r="I28">
            <v>13158</v>
          </cell>
        </row>
        <row r="37">
          <cell r="C37">
            <v>8814.32</v>
          </cell>
          <cell r="D37">
            <v>11960.93</v>
          </cell>
          <cell r="E37">
            <v>16047.77</v>
          </cell>
          <cell r="F37">
            <v>7347.41</v>
          </cell>
          <cell r="G37">
            <v>6008.35</v>
          </cell>
          <cell r="H37">
            <v>10823.96</v>
          </cell>
          <cell r="I37">
            <v>7204.23</v>
          </cell>
        </row>
        <row r="45">
          <cell r="C45">
            <v>1506</v>
          </cell>
          <cell r="D45">
            <v>837</v>
          </cell>
          <cell r="E45">
            <v>2872</v>
          </cell>
          <cell r="F45">
            <v>6402</v>
          </cell>
          <cell r="G45">
            <v>8427</v>
          </cell>
          <cell r="H45">
            <v>10490</v>
          </cell>
          <cell r="I45">
            <v>9547</v>
          </cell>
        </row>
      </sheetData>
      <sheetData sheetId="3">
        <row r="18">
          <cell r="I18">
            <v>22.1593788752898</v>
          </cell>
          <cell r="R18">
            <v>7.7309611176775501</v>
          </cell>
          <cell r="AA18">
            <v>11.805944643002499</v>
          </cell>
        </row>
        <row r="20">
          <cell r="I20">
            <v>64.480643769881894</v>
          </cell>
          <cell r="R20">
            <v>74.291245616760307</v>
          </cell>
          <cell r="AA20">
            <v>54.781017063933398</v>
          </cell>
        </row>
        <row r="22">
          <cell r="I22">
            <v>0.68779713563105904</v>
          </cell>
          <cell r="R22">
            <v>0.782895426876422</v>
          </cell>
          <cell r="AA22">
            <v>0.54749713575898096</v>
          </cell>
        </row>
        <row r="25">
          <cell r="C25">
            <v>1.6782698980846471</v>
          </cell>
          <cell r="D25">
            <v>1.4629905722429293</v>
          </cell>
          <cell r="E25">
            <v>1.0734059467732588</v>
          </cell>
          <cell r="F25">
            <v>1.2307329324910572</v>
          </cell>
          <cell r="G25">
            <v>1.1328071688833383</v>
          </cell>
          <cell r="H25">
            <v>1.2422260239508907</v>
          </cell>
          <cell r="I25">
            <v>0.99257393581401854</v>
          </cell>
          <cell r="L25">
            <v>1.5810553126482303</v>
          </cell>
          <cell r="M25">
            <v>1.1921184847216622</v>
          </cell>
          <cell r="N25">
            <v>0.6602529083463704</v>
          </cell>
          <cell r="O25">
            <v>0.82354792927191045</v>
          </cell>
          <cell r="P25">
            <v>0.946177007719608</v>
          </cell>
          <cell r="Q25">
            <v>1.0398314658071992</v>
          </cell>
          <cell r="R25">
            <v>0.90421654995490242</v>
          </cell>
          <cell r="U25">
            <v>1.1458508753423611</v>
          </cell>
          <cell r="V25">
            <v>0.94012259124485653</v>
          </cell>
          <cell r="W25">
            <v>0.37899702060314405</v>
          </cell>
          <cell r="X25">
            <v>0.33705655806931067</v>
          </cell>
          <cell r="Y25">
            <v>0.37169727148269893</v>
          </cell>
          <cell r="Z25">
            <v>0.39008428123585359</v>
          </cell>
          <cell r="AA25">
            <v>0.4442049937808098</v>
          </cell>
        </row>
      </sheetData>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52"/>
  <sheetViews>
    <sheetView workbookViewId="0">
      <selection activeCell="K9" sqref="K9"/>
    </sheetView>
  </sheetViews>
  <sheetFormatPr baseColWidth="10" defaultColWidth="8.83203125" defaultRowHeight="15" x14ac:dyDescent="0.2"/>
  <cols>
    <col min="1" max="1" width="4.5" customWidth="1"/>
    <col min="2" max="2" width="27.5" bestFit="1" customWidth="1"/>
    <col min="3" max="3" width="11" bestFit="1" customWidth="1"/>
    <col min="4" max="4" width="9.83203125" bestFit="1" customWidth="1"/>
    <col min="5" max="5" width="11.33203125" bestFit="1" customWidth="1"/>
    <col min="6" max="8" width="11" bestFit="1" customWidth="1"/>
    <col min="9" max="9" width="11" customWidth="1"/>
    <col min="10" max="10" width="22.83203125" customWidth="1"/>
    <col min="11" max="12" width="8.83203125" customWidth="1"/>
    <col min="14" max="14" width="1.83203125" customWidth="1"/>
    <col min="15" max="15" width="27.5" bestFit="1" customWidth="1"/>
    <col min="16" max="22" width="11" bestFit="1" customWidth="1"/>
    <col min="27" max="27" width="2" customWidth="1"/>
    <col min="28" max="28" width="27.5" bestFit="1" customWidth="1"/>
    <col min="29" max="29" width="9.1640625" bestFit="1" customWidth="1"/>
    <col min="35" max="35" width="9.83203125" bestFit="1" customWidth="1"/>
  </cols>
  <sheetData>
    <row r="1" spans="1:38" ht="15.5" customHeight="1" x14ac:dyDescent="0.2">
      <c r="A1" s="57" t="s">
        <v>0</v>
      </c>
      <c r="B1" s="42" t="s">
        <v>43</v>
      </c>
      <c r="C1" s="58">
        <v>43921</v>
      </c>
      <c r="D1" s="58">
        <v>44286</v>
      </c>
      <c r="E1" s="58">
        <v>44651</v>
      </c>
      <c r="F1" s="58">
        <v>45016</v>
      </c>
      <c r="G1" s="58">
        <v>45382</v>
      </c>
      <c r="H1" s="58">
        <v>45747</v>
      </c>
      <c r="I1" s="58">
        <v>46112</v>
      </c>
      <c r="K1" s="58" t="s">
        <v>44</v>
      </c>
      <c r="L1" s="58" t="s">
        <v>45</v>
      </c>
      <c r="M1" s="58" t="s">
        <v>46</v>
      </c>
      <c r="N1" s="47"/>
      <c r="O1" s="42" t="s">
        <v>43</v>
      </c>
      <c r="P1" s="58">
        <v>43921</v>
      </c>
      <c r="Q1" s="58">
        <v>44286</v>
      </c>
      <c r="R1" s="58">
        <v>44651</v>
      </c>
      <c r="S1" s="58">
        <v>45016</v>
      </c>
      <c r="T1" s="58">
        <v>45382</v>
      </c>
      <c r="U1" s="58">
        <v>45747</v>
      </c>
      <c r="V1" s="58">
        <v>46112</v>
      </c>
      <c r="W1" s="59"/>
      <c r="X1" s="58" t="s">
        <v>44</v>
      </c>
      <c r="Y1" s="58" t="s">
        <v>45</v>
      </c>
      <c r="Z1" s="58" t="s">
        <v>47</v>
      </c>
      <c r="AA1" s="48"/>
      <c r="AB1" s="42" t="s">
        <v>43</v>
      </c>
      <c r="AC1" s="58">
        <v>43921</v>
      </c>
      <c r="AD1" s="58">
        <v>44286</v>
      </c>
      <c r="AE1" s="58">
        <v>44651</v>
      </c>
      <c r="AF1" s="58">
        <v>45016</v>
      </c>
      <c r="AG1" s="58">
        <v>45382</v>
      </c>
      <c r="AH1" s="58">
        <v>45747</v>
      </c>
      <c r="AI1" s="58">
        <v>46112</v>
      </c>
      <c r="AJ1" s="59"/>
      <c r="AK1" s="58" t="s">
        <v>44</v>
      </c>
      <c r="AL1" s="58" t="s">
        <v>45</v>
      </c>
    </row>
    <row r="2" spans="1:38" ht="15.5" customHeight="1" x14ac:dyDescent="0.2">
      <c r="B2" s="1" t="s">
        <v>48</v>
      </c>
      <c r="C2" s="2">
        <v>73326</v>
      </c>
      <c r="D2" s="2">
        <v>79839</v>
      </c>
      <c r="E2" s="2">
        <v>146371</v>
      </c>
      <c r="F2" s="2">
        <v>165960</v>
      </c>
      <c r="G2" s="2">
        <v>175006</v>
      </c>
      <c r="H2" s="2">
        <v>168824</v>
      </c>
      <c r="I2" s="2">
        <v>185470</v>
      </c>
      <c r="K2" s="60">
        <f>(I2/D2)^(1/5)-1</f>
        <v>0.18361842389693006</v>
      </c>
      <c r="L2" s="60">
        <f>(I2/F2)^(1/3)-1</f>
        <v>3.7743643656640735E-2</v>
      </c>
      <c r="N2" s="47"/>
      <c r="O2" s="1" t="s">
        <v>48</v>
      </c>
      <c r="P2" s="2">
        <v>139816.65</v>
      </c>
      <c r="Q2" s="2">
        <v>156477.4</v>
      </c>
      <c r="R2" s="2">
        <v>243959.17</v>
      </c>
      <c r="S2" s="2">
        <v>243352.69</v>
      </c>
      <c r="T2" s="2">
        <v>229170.78</v>
      </c>
      <c r="U2" s="2">
        <v>218542.51</v>
      </c>
      <c r="V2" s="2">
        <v>232139.94</v>
      </c>
      <c r="W2" s="56"/>
      <c r="X2" s="60">
        <f>(V2/Q2)^(1/5)-1</f>
        <v>8.2080695701207018E-2</v>
      </c>
      <c r="Y2" s="60">
        <f>(V2/S2)^(1/3)-1</f>
        <v>-1.5600829974961705E-2</v>
      </c>
      <c r="AA2" s="48"/>
      <c r="AB2" s="1" t="s">
        <v>48</v>
      </c>
      <c r="AC2" s="2">
        <v>37923.19</v>
      </c>
      <c r="AD2" s="2">
        <v>34578.9</v>
      </c>
      <c r="AE2" s="2">
        <v>51165.64</v>
      </c>
      <c r="AF2" s="2">
        <v>53211.519999999997</v>
      </c>
      <c r="AG2" s="2">
        <v>50354.45</v>
      </c>
      <c r="AH2" s="2">
        <v>50128.66</v>
      </c>
      <c r="AI2" s="2">
        <v>53454.85</v>
      </c>
      <c r="AJ2" s="56"/>
      <c r="AK2" s="60">
        <f>(AI2/AD2)^(1/5)-1</f>
        <v>9.1026221115408479E-2</v>
      </c>
      <c r="AL2" s="60">
        <f>(AI2/AF2)^(1/3)-1</f>
        <v>1.5219764001299652E-3</v>
      </c>
    </row>
    <row r="3" spans="1:38" ht="15.5" customHeight="1" x14ac:dyDescent="0.2">
      <c r="B3" s="3" t="s">
        <v>49</v>
      </c>
      <c r="C3" s="4">
        <v>-0.13486791651427019</v>
      </c>
      <c r="D3" s="4">
        <f t="shared" ref="D3:I3" si="0">D2/C2-1</f>
        <v>8.8822518615497836E-2</v>
      </c>
      <c r="E3" s="122">
        <f t="shared" si="0"/>
        <v>0.83332707072984391</v>
      </c>
      <c r="F3" s="4">
        <f t="shared" si="0"/>
        <v>0.13383115507853338</v>
      </c>
      <c r="G3" s="4">
        <f t="shared" si="0"/>
        <v>5.4507110147023363E-2</v>
      </c>
      <c r="H3" s="4">
        <f t="shared" si="0"/>
        <v>-3.5324503159891663E-2</v>
      </c>
      <c r="I3" s="4">
        <f t="shared" si="0"/>
        <v>9.8599725157560547E-2</v>
      </c>
      <c r="K3" s="60"/>
      <c r="L3" s="60"/>
      <c r="N3" s="47"/>
      <c r="O3" s="3" t="s">
        <v>49</v>
      </c>
      <c r="P3" s="4"/>
      <c r="Q3" s="4">
        <f t="shared" ref="Q3:V3" si="1">Q2/P2-1</f>
        <v>0.11916141604022124</v>
      </c>
      <c r="R3" s="4">
        <f t="shared" si="1"/>
        <v>0.55906968035000593</v>
      </c>
      <c r="S3" s="4">
        <f t="shared" si="1"/>
        <v>-2.4859897662383723E-3</v>
      </c>
      <c r="T3" s="4">
        <f t="shared" si="1"/>
        <v>-5.8277186087402622E-2</v>
      </c>
      <c r="U3" s="4">
        <f t="shared" si="1"/>
        <v>-4.6377073028245563E-2</v>
      </c>
      <c r="V3" s="4">
        <f t="shared" si="1"/>
        <v>6.2218696033096599E-2</v>
      </c>
      <c r="W3" s="61"/>
      <c r="X3" s="60"/>
      <c r="Y3" s="60"/>
      <c r="AA3" s="48"/>
      <c r="AB3" s="3" t="s">
        <v>49</v>
      </c>
      <c r="AC3" s="4">
        <v>-0.1925350265959824</v>
      </c>
      <c r="AD3" s="4">
        <f t="shared" ref="AD3:AI3" si="2">AD2/AC2-1</f>
        <v>-8.8185883096859707E-2</v>
      </c>
      <c r="AE3" s="4">
        <f t="shared" si="2"/>
        <v>0.47967806957421999</v>
      </c>
      <c r="AF3" s="4">
        <f t="shared" si="2"/>
        <v>3.9985427720634403E-2</v>
      </c>
      <c r="AG3" s="4">
        <f t="shared" si="2"/>
        <v>-5.369269661907794E-2</v>
      </c>
      <c r="AH3" s="4">
        <f t="shared" si="2"/>
        <v>-4.4840128330265738E-3</v>
      </c>
      <c r="AI3" s="4">
        <f t="shared" si="2"/>
        <v>6.6353060305222478E-2</v>
      </c>
      <c r="AJ3" s="61"/>
      <c r="AK3" s="60"/>
      <c r="AL3" s="60"/>
    </row>
    <row r="4" spans="1:38" ht="15.5" customHeight="1" x14ac:dyDescent="0.2">
      <c r="B4" s="5" t="s">
        <v>50</v>
      </c>
      <c r="C4" s="6">
        <v>61513</v>
      </c>
      <c r="D4" s="6">
        <v>59661</v>
      </c>
      <c r="E4" s="6">
        <v>107257</v>
      </c>
      <c r="F4" s="6">
        <v>147490</v>
      </c>
      <c r="G4" s="6">
        <v>146849</v>
      </c>
      <c r="H4" s="6">
        <v>146099</v>
      </c>
      <c r="I4" s="6">
        <v>156006</v>
      </c>
      <c r="K4" s="60">
        <v>0.21196521348549641</v>
      </c>
      <c r="L4" s="60">
        <v>1.8887518273854379E-2</v>
      </c>
      <c r="N4" s="47"/>
      <c r="O4" s="5" t="s">
        <v>50</v>
      </c>
      <c r="P4" s="6">
        <v>122353.59</v>
      </c>
      <c r="Q4" s="6">
        <v>125973.14</v>
      </c>
      <c r="R4" s="6">
        <v>180469.22</v>
      </c>
      <c r="S4" s="6">
        <v>211052.53</v>
      </c>
      <c r="T4" s="6">
        <v>206922.86</v>
      </c>
      <c r="U4" s="6">
        <v>193244.06</v>
      </c>
      <c r="V4" s="6">
        <v>197787.5</v>
      </c>
      <c r="W4" s="43"/>
      <c r="X4" s="60">
        <v>0.21196521348549641</v>
      </c>
      <c r="Y4" s="60">
        <v>1.8887518273854379E-2</v>
      </c>
      <c r="AA4" s="48"/>
      <c r="AB4" s="5" t="s">
        <v>50</v>
      </c>
      <c r="AC4" s="6">
        <v>31092.14</v>
      </c>
      <c r="AD4" s="6">
        <v>21472.14</v>
      </c>
      <c r="AE4" s="6">
        <v>35606.720000000001</v>
      </c>
      <c r="AF4" s="6">
        <v>43269.58</v>
      </c>
      <c r="AG4" s="6">
        <v>40152.889999999992</v>
      </c>
      <c r="AH4" s="6">
        <v>40640.370000000003</v>
      </c>
      <c r="AI4" s="6">
        <v>43750.760000000009</v>
      </c>
      <c r="AJ4" s="43"/>
      <c r="AK4" s="60">
        <v>0.21196521348549641</v>
      </c>
      <c r="AL4" s="60">
        <v>1.8887518273854379E-2</v>
      </c>
    </row>
    <row r="5" spans="1:38" ht="15.5" customHeight="1" x14ac:dyDescent="0.2">
      <c r="B5" s="98" t="s">
        <v>51</v>
      </c>
      <c r="C5" s="7">
        <v>0.53187136895507703</v>
      </c>
      <c r="D5" s="7">
        <v>0.4115282005035133</v>
      </c>
      <c r="E5" s="7">
        <v>0.42953180616378928</v>
      </c>
      <c r="F5" s="7">
        <v>0.57827187274041936</v>
      </c>
      <c r="G5" s="7">
        <v>0.54143286515890887</v>
      </c>
      <c r="H5" s="7">
        <v>0.52817727337345399</v>
      </c>
      <c r="I5" s="7">
        <v>0.49534695638108589</v>
      </c>
      <c r="K5" s="60"/>
      <c r="L5" s="60"/>
      <c r="N5" s="47"/>
      <c r="O5" s="98" t="s">
        <v>51</v>
      </c>
      <c r="P5" s="7">
        <v>0.41511500955000707</v>
      </c>
      <c r="Q5" s="7">
        <v>0.3521327041476916</v>
      </c>
      <c r="R5" s="7">
        <v>0.37332726619786422</v>
      </c>
      <c r="S5" s="7">
        <v>0.47912842056522992</v>
      </c>
      <c r="T5" s="7">
        <v>0.42547479220518419</v>
      </c>
      <c r="U5" s="7">
        <v>0.43514325885613742</v>
      </c>
      <c r="V5" s="7">
        <v>0.39901823873996012</v>
      </c>
      <c r="W5" s="61"/>
      <c r="X5" s="60"/>
      <c r="Y5" s="60"/>
      <c r="AA5" s="48"/>
      <c r="AB5" s="98" t="s">
        <v>51</v>
      </c>
      <c r="AC5" s="7">
        <v>0.29977646922634932</v>
      </c>
      <c r="AD5" s="7">
        <v>0.31390819256830033</v>
      </c>
      <c r="AE5" s="7">
        <v>0.41588378450850999</v>
      </c>
      <c r="AF5" s="7">
        <v>0.46685868022563543</v>
      </c>
      <c r="AG5" s="7">
        <v>0.43821588757299512</v>
      </c>
      <c r="AH5" s="7">
        <v>0.4487311250689725</v>
      </c>
      <c r="AI5" s="7">
        <v>0.49415834110468931</v>
      </c>
      <c r="AJ5" s="61"/>
      <c r="AK5" s="60"/>
      <c r="AL5" s="60"/>
    </row>
    <row r="6" spans="1:38" ht="15.5" customHeight="1" x14ac:dyDescent="0.2">
      <c r="B6" s="98" t="s">
        <v>52</v>
      </c>
      <c r="C6" s="53">
        <f t="shared" ref="C6:I6" si="3">C2*C5</f>
        <v>38999.999999999978</v>
      </c>
      <c r="D6" s="53">
        <f t="shared" si="3"/>
        <v>32856</v>
      </c>
      <c r="E6" s="53">
        <f t="shared" si="3"/>
        <v>62871</v>
      </c>
      <c r="F6" s="53">
        <f t="shared" si="3"/>
        <v>95970</v>
      </c>
      <c r="G6" s="53">
        <f t="shared" si="3"/>
        <v>94754</v>
      </c>
      <c r="H6" s="53">
        <f t="shared" si="3"/>
        <v>89169</v>
      </c>
      <c r="I6" s="53">
        <f t="shared" si="3"/>
        <v>91872</v>
      </c>
      <c r="K6" s="60"/>
      <c r="L6" s="60"/>
      <c r="N6" s="47"/>
      <c r="O6" s="98" t="s">
        <v>52</v>
      </c>
      <c r="P6" s="53">
        <f t="shared" ref="P6:V6" si="4">P2*P5</f>
        <v>58039.989999999991</v>
      </c>
      <c r="Q6" s="53">
        <f t="shared" si="4"/>
        <v>55100.81</v>
      </c>
      <c r="R6" s="53">
        <f t="shared" si="4"/>
        <v>91076.610000000015</v>
      </c>
      <c r="S6" s="53">
        <f t="shared" si="4"/>
        <v>116597.19000000002</v>
      </c>
      <c r="T6" s="53">
        <f t="shared" si="4"/>
        <v>97506.389999999985</v>
      </c>
      <c r="U6" s="53">
        <f t="shared" si="4"/>
        <v>95097.3</v>
      </c>
      <c r="V6" s="53">
        <f t="shared" si="4"/>
        <v>92628.070000000022</v>
      </c>
      <c r="W6" s="61"/>
      <c r="X6" s="60"/>
      <c r="Y6" s="60"/>
      <c r="AA6" s="48"/>
      <c r="AB6" s="98" t="s">
        <v>52</v>
      </c>
      <c r="AC6" s="53">
        <f t="shared" ref="AC6:AI6" si="5">AC2*AC5</f>
        <v>11368.48</v>
      </c>
      <c r="AD6" s="53">
        <f t="shared" si="5"/>
        <v>10854.6</v>
      </c>
      <c r="AE6" s="53">
        <f t="shared" si="5"/>
        <v>21278.959999999999</v>
      </c>
      <c r="AF6" s="53">
        <f t="shared" si="5"/>
        <v>24842.260000000002</v>
      </c>
      <c r="AG6" s="53">
        <f t="shared" si="5"/>
        <v>22066.120000000003</v>
      </c>
      <c r="AH6" s="53">
        <f t="shared" si="5"/>
        <v>22494.29</v>
      </c>
      <c r="AI6" s="53">
        <f t="shared" si="5"/>
        <v>26415.16</v>
      </c>
      <c r="AJ6" s="61"/>
      <c r="AK6" s="60"/>
      <c r="AL6" s="60"/>
    </row>
    <row r="7" spans="1:38" ht="15.5" customHeight="1" x14ac:dyDescent="0.2">
      <c r="B7" s="98" t="s">
        <v>53</v>
      </c>
      <c r="C7" s="7">
        <v>8.5535826309903723E-2</v>
      </c>
      <c r="D7" s="7">
        <v>7.4963363769586289E-2</v>
      </c>
      <c r="E7" s="7">
        <v>7.7125933415772244E-2</v>
      </c>
      <c r="F7" s="7">
        <v>0.10515786936611229</v>
      </c>
      <c r="G7" s="7">
        <v>8.6437036444464765E-2</v>
      </c>
      <c r="H7" s="7">
        <v>9.5726910865753689E-2</v>
      </c>
      <c r="I7" s="7">
        <v>8.708686040869143E-2</v>
      </c>
      <c r="K7" s="60"/>
      <c r="L7" s="60"/>
      <c r="N7" s="47"/>
      <c r="O7" s="98" t="s">
        <v>53</v>
      </c>
      <c r="P7" s="7">
        <v>3.8049259512368518E-2</v>
      </c>
      <c r="Q7" s="7">
        <v>3.6480795309738023E-2</v>
      </c>
      <c r="R7" s="7">
        <v>3.2908334620092371E-2</v>
      </c>
      <c r="S7" s="7">
        <v>3.9148570743146503E-2</v>
      </c>
      <c r="T7" s="7">
        <v>7.249008795973029E-2</v>
      </c>
      <c r="U7" s="7">
        <v>6.0056279210850098E-2</v>
      </c>
      <c r="V7" s="7">
        <v>6.174357587927351E-2</v>
      </c>
      <c r="W7" s="61"/>
      <c r="X7" s="60"/>
      <c r="Y7" s="60"/>
      <c r="AA7" s="48"/>
      <c r="AB7" s="98" t="s">
        <v>53</v>
      </c>
      <c r="AC7" s="7">
        <v>0.15925453528566549</v>
      </c>
      <c r="AD7" s="7">
        <v>0.1166916819216343</v>
      </c>
      <c r="AE7" s="7">
        <v>0.1139657395079979</v>
      </c>
      <c r="AF7" s="7">
        <v>0.14300455991484551</v>
      </c>
      <c r="AG7" s="7">
        <v>0.1344991356275364</v>
      </c>
      <c r="AH7" s="7">
        <v>0.1100185003947841</v>
      </c>
      <c r="AI7" s="7">
        <v>0.10975449374565641</v>
      </c>
      <c r="AJ7" s="61"/>
      <c r="AK7" s="60"/>
      <c r="AL7" s="60"/>
    </row>
    <row r="8" spans="1:38" ht="15.5" customHeight="1" x14ac:dyDescent="0.2">
      <c r="B8" s="98" t="s">
        <v>54</v>
      </c>
      <c r="C8" s="7">
        <v>0.1396912418514579</v>
      </c>
      <c r="D8" s="7">
        <v>0.2034970377885495</v>
      </c>
      <c r="E8" s="7">
        <v>0.203086677005691</v>
      </c>
      <c r="F8" s="7">
        <v>0.1580139792721138</v>
      </c>
      <c r="G8" s="7">
        <v>0.16979989257511169</v>
      </c>
      <c r="H8" s="7">
        <v>0.17148035824290389</v>
      </c>
      <c r="I8" s="7">
        <v>0.14904297190920371</v>
      </c>
      <c r="K8" s="60"/>
      <c r="L8" s="60"/>
      <c r="N8" s="47"/>
      <c r="O8" s="98" t="s">
        <v>54</v>
      </c>
      <c r="P8" s="7">
        <v>0.15186095504362321</v>
      </c>
      <c r="Q8" s="7">
        <v>0.13257460821818359</v>
      </c>
      <c r="R8" s="7">
        <v>0.1181921548593562</v>
      </c>
      <c r="S8" s="7">
        <v>0.1362007956435575</v>
      </c>
      <c r="T8" s="7">
        <v>0.17505246524011481</v>
      </c>
      <c r="U8" s="7">
        <v>0.17708454066899851</v>
      </c>
      <c r="V8" s="7">
        <v>0.16148001072111931</v>
      </c>
      <c r="W8" s="61"/>
      <c r="X8" s="60"/>
      <c r="Y8" s="60"/>
      <c r="AA8" s="48"/>
      <c r="AB8" s="98" t="s">
        <v>54</v>
      </c>
      <c r="AC8" s="7">
        <v>9.1591187344735495E-2</v>
      </c>
      <c r="AD8" s="7">
        <v>9.0881722669026485E-2</v>
      </c>
      <c r="AE8" s="7">
        <v>9.1250690893341702E-2</v>
      </c>
      <c r="AF8" s="7">
        <v>0.1252491941594602</v>
      </c>
      <c r="AG8" s="7">
        <v>0.13217004654007741</v>
      </c>
      <c r="AH8" s="7">
        <v>0.13602976820046661</v>
      </c>
      <c r="AI8" s="7">
        <v>0.13649781076927539</v>
      </c>
      <c r="AJ8" s="61"/>
      <c r="AK8" s="60"/>
      <c r="AL8" s="60"/>
    </row>
    <row r="9" spans="1:38" ht="15.5" customHeight="1" x14ac:dyDescent="0.2">
      <c r="B9" s="98" t="s">
        <v>55</v>
      </c>
      <c r="C9" s="7">
        <v>3.871750811444781E-2</v>
      </c>
      <c r="D9" s="7">
        <v>3.1388168689487593E-2</v>
      </c>
      <c r="E9" s="7">
        <v>2.3864016779280049E-2</v>
      </c>
      <c r="F9" s="7">
        <v>2.359002169197397E-2</v>
      </c>
      <c r="G9" s="7">
        <v>2.6233386283898839E-2</v>
      </c>
      <c r="H9" s="7">
        <v>2.8420129839359331E-2</v>
      </c>
      <c r="I9" s="7">
        <v>2.849517442173936E-2</v>
      </c>
      <c r="J9" t="s">
        <v>137</v>
      </c>
      <c r="K9" s="60"/>
      <c r="L9" s="60"/>
      <c r="N9" s="47"/>
      <c r="O9" s="98" t="s">
        <v>55</v>
      </c>
      <c r="P9" s="7">
        <v>0.13255631571776319</v>
      </c>
      <c r="Q9" s="7">
        <v>0.12723121677635241</v>
      </c>
      <c r="R9" s="7">
        <v>9.5360629403682576E-2</v>
      </c>
      <c r="S9" s="7">
        <v>9.2126863278149909E-2</v>
      </c>
      <c r="T9" s="7">
        <v>0.1069489749085813</v>
      </c>
      <c r="U9" s="7">
        <v>0.1138862640499553</v>
      </c>
      <c r="V9" s="7">
        <v>0.1119970135255484</v>
      </c>
      <c r="W9" s="61"/>
      <c r="X9" s="60"/>
      <c r="Y9" s="60"/>
      <c r="AA9" s="48"/>
      <c r="AB9" s="98" t="s">
        <v>55</v>
      </c>
      <c r="AC9" s="7">
        <v>2.4088690851165211E-2</v>
      </c>
      <c r="AD9" s="7">
        <v>2.3752346083883529E-2</v>
      </c>
      <c r="AE9" s="7">
        <v>1.7038192036687119E-2</v>
      </c>
      <c r="AF9" s="7">
        <v>2.1343686479920139E-2</v>
      </c>
      <c r="AG9" s="7">
        <v>2.5610447537407321E-2</v>
      </c>
      <c r="AH9" s="7">
        <v>2.3662910598448071E-2</v>
      </c>
      <c r="AI9" s="7">
        <v>2.3438658980429281E-2</v>
      </c>
      <c r="AJ9" s="61"/>
      <c r="AK9" s="60"/>
      <c r="AL9" s="60"/>
    </row>
    <row r="10" spans="1:38" ht="15.5" customHeight="1" x14ac:dyDescent="0.2">
      <c r="B10" s="99" t="s">
        <v>56</v>
      </c>
      <c r="C10" s="8">
        <v>6.1369773340970461E-3</v>
      </c>
      <c r="D10" s="8">
        <v>5.060183619534313E-3</v>
      </c>
      <c r="E10" s="8">
        <v>3.8053986103804721E-3</v>
      </c>
      <c r="F10" s="8">
        <v>6.134008194745722E-3</v>
      </c>
      <c r="G10" s="8">
        <v>5.1083962835559923E-3</v>
      </c>
      <c r="H10" s="8">
        <v>5.4020755342842246E-3</v>
      </c>
      <c r="I10" s="8">
        <v>5.3162236480293308E-3</v>
      </c>
      <c r="K10" s="62"/>
      <c r="L10" s="62"/>
      <c r="N10" s="47"/>
      <c r="O10" s="99" t="s">
        <v>56</v>
      </c>
      <c r="P10" s="8">
        <v>0.111568042861848</v>
      </c>
      <c r="Q10" s="8">
        <v>0.11189967369089721</v>
      </c>
      <c r="R10" s="8">
        <v>0.1125010795863914</v>
      </c>
      <c r="S10" s="8">
        <v>0.10486804152442281</v>
      </c>
      <c r="T10" s="8">
        <v>6.3068991605299773E-2</v>
      </c>
      <c r="U10" s="8">
        <v>5.5537295695926622E-2</v>
      </c>
      <c r="V10" s="8">
        <v>5.7504064143378338E-2</v>
      </c>
      <c r="W10" s="61"/>
      <c r="X10" s="62"/>
      <c r="Y10" s="62"/>
      <c r="AA10" s="48"/>
      <c r="AB10" s="99" t="s">
        <v>56</v>
      </c>
      <c r="AC10" s="8">
        <v>3.8279743871757622E-2</v>
      </c>
      <c r="AD10" s="8">
        <v>5.7128769278374958E-2</v>
      </c>
      <c r="AE10" s="8">
        <v>6.1973621359959541E-2</v>
      </c>
      <c r="AF10" s="8">
        <v>5.1324036599593482E-2</v>
      </c>
      <c r="AG10" s="8">
        <v>4.89299356859225E-2</v>
      </c>
      <c r="AH10" s="8">
        <v>5.2949550217380632E-2</v>
      </c>
      <c r="AI10" s="8">
        <v>6.1684393464765133E-2</v>
      </c>
      <c r="AJ10" s="61"/>
      <c r="AK10" s="62"/>
      <c r="AL10" s="62"/>
    </row>
    <row r="11" spans="1:38" ht="15.5" customHeight="1" x14ac:dyDescent="0.2">
      <c r="B11" s="9" t="s">
        <v>57</v>
      </c>
      <c r="C11" s="10">
        <f t="shared" ref="C11:I11" si="6">C2-C6</f>
        <v>34326.000000000022</v>
      </c>
      <c r="D11" s="10">
        <f t="shared" si="6"/>
        <v>46983</v>
      </c>
      <c r="E11" s="123">
        <f t="shared" si="6"/>
        <v>83500</v>
      </c>
      <c r="F11" s="10">
        <f t="shared" si="6"/>
        <v>69990</v>
      </c>
      <c r="G11" s="10">
        <f t="shared" si="6"/>
        <v>80252</v>
      </c>
      <c r="H11" s="10">
        <f t="shared" si="6"/>
        <v>79655</v>
      </c>
      <c r="I11" s="10">
        <f t="shared" si="6"/>
        <v>93598</v>
      </c>
      <c r="K11" s="60">
        <f>(I11/D11)^(1/5)-1</f>
        <v>0.14779721041801408</v>
      </c>
      <c r="L11" s="60">
        <f>(I11/F11)^(1/3)-1</f>
        <v>0.10173426962421139</v>
      </c>
      <c r="N11" s="47"/>
      <c r="O11" s="9" t="s">
        <v>57</v>
      </c>
      <c r="P11" s="10">
        <f t="shared" ref="P11:V11" si="7">P2-P6</f>
        <v>81776.66</v>
      </c>
      <c r="Q11" s="10">
        <f t="shared" si="7"/>
        <v>101376.59</v>
      </c>
      <c r="R11" s="10">
        <f t="shared" si="7"/>
        <v>152882.56</v>
      </c>
      <c r="S11" s="10">
        <f t="shared" si="7"/>
        <v>126755.49999999999</v>
      </c>
      <c r="T11" s="10">
        <f t="shared" si="7"/>
        <v>131664.39000000001</v>
      </c>
      <c r="U11" s="10">
        <f t="shared" si="7"/>
        <v>123445.21</v>
      </c>
      <c r="V11" s="10">
        <f t="shared" si="7"/>
        <v>139511.87</v>
      </c>
      <c r="W11" s="63"/>
      <c r="X11" s="64">
        <f>(V11/Q11)^(1/5)-1</f>
        <v>6.5944753183647453E-2</v>
      </c>
      <c r="Y11" s="64">
        <f>(V11/S11)^(1/3)-1</f>
        <v>3.2479527673639152E-2</v>
      </c>
      <c r="AA11" s="48"/>
      <c r="AB11" s="9" t="s">
        <v>57</v>
      </c>
      <c r="AC11" s="10">
        <f t="shared" ref="AC11:AI11" si="8">AC2-AC6</f>
        <v>26554.710000000003</v>
      </c>
      <c r="AD11" s="10">
        <f t="shared" si="8"/>
        <v>23724.300000000003</v>
      </c>
      <c r="AE11" s="10">
        <f t="shared" si="8"/>
        <v>29886.68</v>
      </c>
      <c r="AF11" s="10">
        <f t="shared" si="8"/>
        <v>28369.259999999995</v>
      </c>
      <c r="AG11" s="10">
        <f t="shared" si="8"/>
        <v>28288.329999999994</v>
      </c>
      <c r="AH11" s="10">
        <f t="shared" si="8"/>
        <v>27634.370000000003</v>
      </c>
      <c r="AI11" s="10">
        <f t="shared" si="8"/>
        <v>27039.69</v>
      </c>
      <c r="AJ11" s="63"/>
      <c r="AK11" s="64">
        <f>(AI11/AD11)^(1/5)-1</f>
        <v>2.6506397149222982E-2</v>
      </c>
      <c r="AL11" s="64">
        <f>(AI11/AF11)^(1/3)-1</f>
        <v>-1.5872803937247215E-2</v>
      </c>
    </row>
    <row r="12" spans="1:38" ht="15.5" customHeight="1" x14ac:dyDescent="0.2">
      <c r="B12" s="11" t="s">
        <v>58</v>
      </c>
      <c r="C12" s="12">
        <f t="shared" ref="C12:I12" si="9">C11/C2</f>
        <v>0.46812863104492297</v>
      </c>
      <c r="D12" s="12">
        <f t="shared" si="9"/>
        <v>0.58847179949648665</v>
      </c>
      <c r="E12" s="12">
        <f t="shared" si="9"/>
        <v>0.57046819383621072</v>
      </c>
      <c r="F12" s="12">
        <f t="shared" si="9"/>
        <v>0.42172812725958064</v>
      </c>
      <c r="G12" s="12">
        <f t="shared" si="9"/>
        <v>0.45856713484109118</v>
      </c>
      <c r="H12" s="12">
        <f t="shared" si="9"/>
        <v>0.47182272662654601</v>
      </c>
      <c r="I12" s="12">
        <f t="shared" si="9"/>
        <v>0.50465304361891417</v>
      </c>
      <c r="K12" s="65"/>
      <c r="L12" s="65"/>
      <c r="N12" s="47"/>
      <c r="O12" s="11" t="s">
        <v>58</v>
      </c>
      <c r="P12" s="12">
        <f t="shared" ref="P12:V12" si="10">P11/P2</f>
        <v>0.58488499044999298</v>
      </c>
      <c r="Q12" s="12">
        <f t="shared" si="10"/>
        <v>0.6478672958523084</v>
      </c>
      <c r="R12" s="12">
        <f t="shared" si="10"/>
        <v>0.62667273380213573</v>
      </c>
      <c r="S12" s="12">
        <f t="shared" si="10"/>
        <v>0.52087157943477014</v>
      </c>
      <c r="T12" s="12">
        <f t="shared" si="10"/>
        <v>0.57452520779481575</v>
      </c>
      <c r="U12" s="12">
        <f t="shared" si="10"/>
        <v>0.56485674114386264</v>
      </c>
      <c r="V12" s="12">
        <f t="shared" si="10"/>
        <v>0.60098176126003988</v>
      </c>
      <c r="W12" s="66"/>
      <c r="X12" s="65"/>
      <c r="Y12" s="65"/>
      <c r="AA12" s="48"/>
      <c r="AB12" s="11" t="s">
        <v>58</v>
      </c>
      <c r="AC12" s="12">
        <f t="shared" ref="AC12:AI12" si="11">AC11/AC2</f>
        <v>0.70022353077365063</v>
      </c>
      <c r="AD12" s="12">
        <f t="shared" si="11"/>
        <v>0.68609180743169973</v>
      </c>
      <c r="AE12" s="12">
        <f t="shared" si="11"/>
        <v>0.58411621549148995</v>
      </c>
      <c r="AF12" s="12">
        <f t="shared" si="11"/>
        <v>0.53314131977436463</v>
      </c>
      <c r="AG12" s="12">
        <f t="shared" si="11"/>
        <v>0.56178411242700488</v>
      </c>
      <c r="AH12" s="12">
        <f t="shared" si="11"/>
        <v>0.5512688749310275</v>
      </c>
      <c r="AI12" s="12">
        <f t="shared" si="11"/>
        <v>0.50584165889531074</v>
      </c>
      <c r="AJ12" s="66"/>
      <c r="AK12" s="65"/>
      <c r="AL12" s="65"/>
    </row>
    <row r="13" spans="1:38" ht="15.5" customHeight="1" x14ac:dyDescent="0.2">
      <c r="B13" s="9" t="s">
        <v>59</v>
      </c>
      <c r="C13" s="10">
        <f>C2-C4</f>
        <v>11813</v>
      </c>
      <c r="D13" s="10">
        <f t="shared" ref="D13:I13" si="12">D2-D4</f>
        <v>20178</v>
      </c>
      <c r="E13" s="123">
        <f t="shared" si="12"/>
        <v>39114</v>
      </c>
      <c r="F13" s="10">
        <f t="shared" si="12"/>
        <v>18470</v>
      </c>
      <c r="G13" s="10">
        <f t="shared" si="12"/>
        <v>28157</v>
      </c>
      <c r="H13" s="10">
        <f t="shared" si="12"/>
        <v>22725</v>
      </c>
      <c r="I13" s="10">
        <f t="shared" si="12"/>
        <v>29464</v>
      </c>
      <c r="K13" s="60">
        <f>(I13/D13)^(1/5)-1</f>
        <v>7.8655389161183642E-2</v>
      </c>
      <c r="L13" s="60">
        <f>(I13/F13)^(1/3)-1</f>
        <v>0.16844498829211818</v>
      </c>
      <c r="N13" s="47"/>
      <c r="O13" s="9" t="s">
        <v>59</v>
      </c>
      <c r="P13" s="10">
        <f t="shared" ref="P13:V13" si="13">P2-P4</f>
        <v>17463.059999999998</v>
      </c>
      <c r="Q13" s="10">
        <f t="shared" si="13"/>
        <v>30504.259999999995</v>
      </c>
      <c r="R13" s="10">
        <f t="shared" si="13"/>
        <v>63489.950000000012</v>
      </c>
      <c r="S13" s="10">
        <f t="shared" si="13"/>
        <v>32300.160000000003</v>
      </c>
      <c r="T13" s="10">
        <f t="shared" si="13"/>
        <v>22247.920000000013</v>
      </c>
      <c r="U13" s="10">
        <f t="shared" si="13"/>
        <v>25298.450000000012</v>
      </c>
      <c r="V13" s="10">
        <f t="shared" si="13"/>
        <v>34352.44</v>
      </c>
      <c r="W13" s="56"/>
      <c r="X13" s="64">
        <f>(V13/Q13)^(1/5)-1</f>
        <v>2.4045890676219983E-2</v>
      </c>
      <c r="Y13" s="64">
        <f>(V13/S13)^(1/3)-1</f>
        <v>2.0745887132680885E-2</v>
      </c>
      <c r="AA13" s="48"/>
      <c r="AB13" s="9" t="s">
        <v>59</v>
      </c>
      <c r="AC13" s="10">
        <f t="shared" ref="AC13:AI13" si="14">AC2-AC4</f>
        <v>6831.0500000000029</v>
      </c>
      <c r="AD13" s="10">
        <f t="shared" si="14"/>
        <v>13106.760000000002</v>
      </c>
      <c r="AE13" s="10">
        <f t="shared" si="14"/>
        <v>15558.919999999998</v>
      </c>
      <c r="AF13" s="10">
        <f t="shared" si="14"/>
        <v>9941.9399999999951</v>
      </c>
      <c r="AG13" s="10">
        <f t="shared" si="14"/>
        <v>10201.560000000005</v>
      </c>
      <c r="AH13" s="10">
        <f t="shared" si="14"/>
        <v>9488.2900000000009</v>
      </c>
      <c r="AI13" s="10">
        <f t="shared" si="14"/>
        <v>9704.0899999999892</v>
      </c>
      <c r="AJ13" s="56"/>
      <c r="AK13" s="64">
        <f>(AI13/AD13)^(1/5)-1</f>
        <v>-5.8344833116844907E-2</v>
      </c>
      <c r="AL13" s="64">
        <f>(AI13/AF13)^(1/3)-1</f>
        <v>-8.0390878109816155E-3</v>
      </c>
    </row>
    <row r="14" spans="1:38" ht="15.5" customHeight="1" x14ac:dyDescent="0.2">
      <c r="B14" s="3" t="s">
        <v>49</v>
      </c>
      <c r="C14" s="56"/>
      <c r="D14" s="49">
        <f t="shared" ref="D14:I14" si="15">D13/C13-1</f>
        <v>0.70811817489206796</v>
      </c>
      <c r="E14" s="49">
        <f t="shared" si="15"/>
        <v>0.93844781445138259</v>
      </c>
      <c r="F14" s="49">
        <f t="shared" si="15"/>
        <v>-0.52779056092447718</v>
      </c>
      <c r="G14" s="49">
        <f t="shared" si="15"/>
        <v>0.5244721169463995</v>
      </c>
      <c r="H14" s="49">
        <f t="shared" si="15"/>
        <v>-0.19291827964626918</v>
      </c>
      <c r="I14" s="49">
        <f t="shared" si="15"/>
        <v>0.29654565456545656</v>
      </c>
      <c r="K14" s="67"/>
      <c r="L14" s="67"/>
      <c r="N14" s="47"/>
      <c r="O14" s="3" t="s">
        <v>49</v>
      </c>
      <c r="P14" s="56"/>
      <c r="Q14" s="49">
        <f t="shared" ref="Q14:V14" si="16">Q13/P13-1</f>
        <v>0.7467877909140781</v>
      </c>
      <c r="R14" s="49">
        <f t="shared" si="16"/>
        <v>1.081346998747061</v>
      </c>
      <c r="S14" s="49">
        <f t="shared" si="16"/>
        <v>-0.49125554516895986</v>
      </c>
      <c r="T14" s="49">
        <f t="shared" si="16"/>
        <v>-0.31121331906714977</v>
      </c>
      <c r="U14" s="49">
        <f t="shared" si="16"/>
        <v>0.13711528987878396</v>
      </c>
      <c r="V14" s="49">
        <f t="shared" si="16"/>
        <v>0.35788714328348137</v>
      </c>
      <c r="W14" s="56"/>
      <c r="X14" s="117"/>
      <c r="Y14" s="117"/>
      <c r="AA14" s="48"/>
      <c r="AB14" s="3" t="s">
        <v>49</v>
      </c>
      <c r="AC14" s="56"/>
      <c r="AD14" s="49">
        <f t="shared" ref="AD14:AI14" si="17">AD13/AC13-1</f>
        <v>0.91870356680158927</v>
      </c>
      <c r="AE14" s="49">
        <f t="shared" si="17"/>
        <v>0.18709124146623535</v>
      </c>
      <c r="AF14" s="49">
        <f t="shared" si="17"/>
        <v>-0.36101348936815691</v>
      </c>
      <c r="AG14" s="49">
        <f t="shared" si="17"/>
        <v>2.6113615652479272E-2</v>
      </c>
      <c r="AH14" s="49">
        <f t="shared" si="17"/>
        <v>-6.9917738071432534E-2</v>
      </c>
      <c r="AI14" s="49">
        <f t="shared" si="17"/>
        <v>2.2743824229654486E-2</v>
      </c>
      <c r="AJ14" s="56"/>
      <c r="AK14" s="117"/>
      <c r="AL14" s="117"/>
    </row>
    <row r="15" spans="1:38" ht="15.5" customHeight="1" x14ac:dyDescent="0.2">
      <c r="B15" s="13" t="s">
        <v>60</v>
      </c>
      <c r="C15" s="14">
        <f t="shared" ref="C15:I15" si="18">C13/C2</f>
        <v>0.16110247388375201</v>
      </c>
      <c r="D15" s="14">
        <f t="shared" si="18"/>
        <v>0.25273362642317665</v>
      </c>
      <c r="E15" s="14">
        <f t="shared" si="18"/>
        <v>0.26722506507436583</v>
      </c>
      <c r="F15" s="14">
        <f t="shared" si="18"/>
        <v>0.11129187756085804</v>
      </c>
      <c r="G15" s="14">
        <f t="shared" si="18"/>
        <v>0.16089162657280323</v>
      </c>
      <c r="H15" s="14">
        <f t="shared" si="18"/>
        <v>0.134607638724352</v>
      </c>
      <c r="I15" s="14">
        <f t="shared" si="18"/>
        <v>0.15886127136464118</v>
      </c>
      <c r="K15" s="67"/>
      <c r="L15" s="67"/>
      <c r="N15" s="47"/>
      <c r="O15" s="13" t="s">
        <v>60</v>
      </c>
      <c r="P15" s="14">
        <f t="shared" ref="P15:V15" si="19">P13/P2</f>
        <v>0.12489971687921288</v>
      </c>
      <c r="Q15" s="14">
        <f t="shared" si="19"/>
        <v>0.19494355095368401</v>
      </c>
      <c r="R15" s="14">
        <f t="shared" si="19"/>
        <v>0.26024826203499546</v>
      </c>
      <c r="S15" s="14">
        <f t="shared" si="19"/>
        <v>0.13272982517678356</v>
      </c>
      <c r="T15" s="14">
        <f t="shared" si="19"/>
        <v>9.7080090227907825E-2</v>
      </c>
      <c r="U15" s="14">
        <f t="shared" si="19"/>
        <v>0.11575985834517967</v>
      </c>
      <c r="V15" s="14">
        <f t="shared" si="19"/>
        <v>0.14798160109802735</v>
      </c>
      <c r="W15" s="44"/>
      <c r="X15" s="67"/>
      <c r="Y15" s="67"/>
      <c r="AA15" s="48"/>
      <c r="AB15" s="13" t="s">
        <v>60</v>
      </c>
      <c r="AC15" s="14">
        <f t="shared" ref="AC15:AI15" si="20">AC13/AC2</f>
        <v>0.18012857040771102</v>
      </c>
      <c r="AD15" s="14">
        <f t="shared" si="20"/>
        <v>0.3790392406930238</v>
      </c>
      <c r="AE15" s="14">
        <f t="shared" si="20"/>
        <v>0.30408922863077642</v>
      </c>
      <c r="AF15" s="14">
        <f t="shared" si="20"/>
        <v>0.18683811325066443</v>
      </c>
      <c r="AG15" s="14">
        <f t="shared" si="20"/>
        <v>0.20259500401652694</v>
      </c>
      <c r="AH15" s="14">
        <f t="shared" si="20"/>
        <v>0.18927874792583724</v>
      </c>
      <c r="AI15" s="14">
        <f t="shared" si="20"/>
        <v>0.18153806436646983</v>
      </c>
      <c r="AJ15" s="44"/>
      <c r="AK15" s="67"/>
      <c r="AL15" s="67"/>
    </row>
    <row r="16" spans="1:38" ht="15.5" customHeight="1" x14ac:dyDescent="0.2">
      <c r="B16" s="5" t="s">
        <v>61</v>
      </c>
      <c r="C16" s="6">
        <v>-289</v>
      </c>
      <c r="D16" s="6">
        <v>473</v>
      </c>
      <c r="E16" s="6">
        <v>1600</v>
      </c>
      <c r="F16" s="6">
        <v>1561</v>
      </c>
      <c r="G16" s="6">
        <v>1500</v>
      </c>
      <c r="H16" s="6">
        <v>73</v>
      </c>
      <c r="I16" s="114">
        <v>18489</v>
      </c>
      <c r="K16" s="60">
        <f>(I16/D16)^(1/5)-1</f>
        <v>1.0816631597237834</v>
      </c>
      <c r="L16" s="60">
        <f>(I16/F16)^(1/3)-1</f>
        <v>1.2794855306163808</v>
      </c>
      <c r="N16" s="47"/>
      <c r="O16" s="5" t="s">
        <v>61</v>
      </c>
      <c r="P16" s="6">
        <v>-2883.63</v>
      </c>
      <c r="Q16" s="6">
        <v>179.78</v>
      </c>
      <c r="R16" s="6">
        <v>1299.99</v>
      </c>
      <c r="S16" s="6">
        <v>1568.86</v>
      </c>
      <c r="T16" s="6">
        <v>-6005.23</v>
      </c>
      <c r="U16" s="6">
        <v>876.7</v>
      </c>
      <c r="V16" s="6">
        <v>737.82</v>
      </c>
      <c r="W16" s="43"/>
      <c r="X16" s="60">
        <f>(V16/Q16)^(1/5)-1</f>
        <v>0.32630012166848288</v>
      </c>
      <c r="Y16" s="60">
        <f>(V16/S16)^(1/3)-1</f>
        <v>-0.2223418203897457</v>
      </c>
      <c r="AA16" s="48"/>
      <c r="AB16" s="5" t="s">
        <v>61</v>
      </c>
      <c r="AC16" s="6">
        <v>74.45</v>
      </c>
      <c r="AD16" s="6">
        <v>-1861.44</v>
      </c>
      <c r="AE16" s="6">
        <v>-1883.94</v>
      </c>
      <c r="AF16" s="6">
        <v>-538.73</v>
      </c>
      <c r="AG16" s="6">
        <v>155.69</v>
      </c>
      <c r="AH16" s="6">
        <v>-1065.1099999999999</v>
      </c>
      <c r="AI16" s="6">
        <v>-602.85</v>
      </c>
      <c r="AJ16" s="43"/>
      <c r="AK16" s="60">
        <f>(AI16/AD16)^(1/5)-1</f>
        <v>-0.20187292330516549</v>
      </c>
      <c r="AL16" s="60">
        <f>(AI16/AF16)^(1/3)-1</f>
        <v>3.8196040510458218E-2</v>
      </c>
    </row>
    <row r="17" spans="2:38" ht="15.5" customHeight="1" x14ac:dyDescent="0.2">
      <c r="B17" s="3" t="s">
        <v>62</v>
      </c>
      <c r="C17" s="68">
        <f t="shared" ref="C17:I17" si="21">C16/C2</f>
        <v>-3.9413032212312141E-3</v>
      </c>
      <c r="D17" s="68">
        <f t="shared" si="21"/>
        <v>5.9244229010884403E-3</v>
      </c>
      <c r="E17" s="68">
        <f t="shared" si="21"/>
        <v>1.0931127067520205E-2</v>
      </c>
      <c r="F17" s="68">
        <f t="shared" si="21"/>
        <v>9.4058809351651E-3</v>
      </c>
      <c r="G17" s="68">
        <f t="shared" si="21"/>
        <v>8.5711347039530081E-3</v>
      </c>
      <c r="H17" s="68">
        <f t="shared" si="21"/>
        <v>4.3240297588020658E-4</v>
      </c>
      <c r="I17" s="115">
        <f t="shared" si="21"/>
        <v>9.9687280961880634E-2</v>
      </c>
      <c r="K17" s="60"/>
      <c r="L17" s="60"/>
      <c r="N17" s="47"/>
      <c r="O17" s="3" t="s">
        <v>62</v>
      </c>
      <c r="P17" s="68">
        <f t="shared" ref="P17:V17" si="22">P16/P2</f>
        <v>-2.0624367698696831E-2</v>
      </c>
      <c r="Q17" s="68">
        <f t="shared" si="22"/>
        <v>1.1489199079228055E-3</v>
      </c>
      <c r="R17" s="68">
        <f t="shared" si="22"/>
        <v>5.3287195558174754E-3</v>
      </c>
      <c r="S17" s="68">
        <f t="shared" si="22"/>
        <v>6.4468570287840249E-3</v>
      </c>
      <c r="T17" s="68">
        <f t="shared" si="22"/>
        <v>-2.6204169658976591E-2</v>
      </c>
      <c r="U17" s="68">
        <f t="shared" si="22"/>
        <v>4.0115765120479303E-3</v>
      </c>
      <c r="V17" s="68">
        <f t="shared" si="22"/>
        <v>3.1783414779895268E-3</v>
      </c>
      <c r="W17" s="69"/>
      <c r="X17" s="60"/>
      <c r="Y17" s="60"/>
      <c r="AA17" s="48"/>
      <c r="AB17" s="3" t="s">
        <v>62</v>
      </c>
      <c r="AC17" s="68">
        <f t="shared" ref="AC17:AI17" si="23">AC16/AC2</f>
        <v>1.96317873048127E-3</v>
      </c>
      <c r="AD17" s="68">
        <f t="shared" si="23"/>
        <v>-5.38316719155323E-2</v>
      </c>
      <c r="AE17" s="68">
        <f t="shared" si="23"/>
        <v>-3.6820413074086442E-2</v>
      </c>
      <c r="AF17" s="68">
        <f t="shared" si="23"/>
        <v>-1.0124311427299955E-2</v>
      </c>
      <c r="AG17" s="68">
        <f t="shared" si="23"/>
        <v>3.0918816509762298E-3</v>
      </c>
      <c r="AH17" s="68">
        <f t="shared" si="23"/>
        <v>-2.1247525866440471E-2</v>
      </c>
      <c r="AI17" s="68">
        <f t="shared" si="23"/>
        <v>-1.1277741870008054E-2</v>
      </c>
      <c r="AJ17" s="69"/>
      <c r="AK17" s="60"/>
      <c r="AL17" s="60"/>
    </row>
    <row r="18" spans="2:38" ht="15.5" customHeight="1" x14ac:dyDescent="0.2">
      <c r="B18" s="5" t="s">
        <v>63</v>
      </c>
      <c r="C18" s="6">
        <v>4246</v>
      </c>
      <c r="D18" s="6">
        <v>4679</v>
      </c>
      <c r="E18" s="6">
        <v>6001</v>
      </c>
      <c r="F18" s="116">
        <v>7474</v>
      </c>
      <c r="G18" s="116">
        <v>8172</v>
      </c>
      <c r="H18" s="116">
        <v>9309</v>
      </c>
      <c r="I18" s="6">
        <v>9601</v>
      </c>
      <c r="K18" s="60">
        <f>(I18/D18)^(1/5)-1</f>
        <v>0.15460300880098288</v>
      </c>
      <c r="L18" s="60">
        <f>(I18/F18)^(1/3)-1</f>
        <v>8.7062360889885282E-2</v>
      </c>
      <c r="N18" s="47"/>
      <c r="O18" s="5" t="s">
        <v>63</v>
      </c>
      <c r="P18" s="6">
        <v>8440.73</v>
      </c>
      <c r="Q18" s="6">
        <v>9233.64</v>
      </c>
      <c r="R18" s="6">
        <v>9100.8700000000008</v>
      </c>
      <c r="S18" s="6">
        <v>9335.2000000000007</v>
      </c>
      <c r="T18" s="6">
        <v>9882.16</v>
      </c>
      <c r="U18" s="6">
        <v>10421.33</v>
      </c>
      <c r="V18" s="6">
        <v>11954.51</v>
      </c>
      <c r="W18" s="43"/>
      <c r="X18" s="60">
        <f>(V18/Q18)^(1/5)-1</f>
        <v>5.3008236662732688E-2</v>
      </c>
      <c r="Y18" s="60">
        <f>(V18/S18)^(1/3)-1</f>
        <v>8.5932216526059424E-2</v>
      </c>
      <c r="AA18" s="48"/>
      <c r="AB18" s="5" t="s">
        <v>63</v>
      </c>
      <c r="AC18" s="6">
        <v>3428.87</v>
      </c>
      <c r="AD18" s="6">
        <v>2414.13</v>
      </c>
      <c r="AE18" s="6">
        <v>2096.7800000000002</v>
      </c>
      <c r="AF18" s="6">
        <v>2690.95</v>
      </c>
      <c r="AG18" s="6">
        <v>2821.75</v>
      </c>
      <c r="AH18" s="6">
        <v>2767.55</v>
      </c>
      <c r="AI18" s="6">
        <v>3171.45</v>
      </c>
      <c r="AJ18" s="43"/>
      <c r="AK18" s="60">
        <f>(AI18/AD18)^(1/5)-1</f>
        <v>5.6086383569358134E-2</v>
      </c>
      <c r="AL18" s="60">
        <f>(AI18/AF18)^(1/3)-1</f>
        <v>5.6292217878244566E-2</v>
      </c>
    </row>
    <row r="19" spans="2:38" ht="15.5" customHeight="1" x14ac:dyDescent="0.2">
      <c r="B19" s="9" t="s">
        <v>64</v>
      </c>
      <c r="C19" s="10">
        <f t="shared" ref="C19:I19" si="24">C13-C18</f>
        <v>7567</v>
      </c>
      <c r="D19" s="10">
        <f t="shared" si="24"/>
        <v>15499</v>
      </c>
      <c r="E19" s="123">
        <f t="shared" si="24"/>
        <v>33113</v>
      </c>
      <c r="F19" s="10">
        <f t="shared" si="24"/>
        <v>10996</v>
      </c>
      <c r="G19" s="10">
        <f t="shared" si="24"/>
        <v>19985</v>
      </c>
      <c r="H19" s="10">
        <f t="shared" si="24"/>
        <v>13416</v>
      </c>
      <c r="I19" s="10">
        <f t="shared" si="24"/>
        <v>19863</v>
      </c>
      <c r="K19" s="60"/>
      <c r="L19" s="60"/>
      <c r="N19" s="47"/>
      <c r="O19" s="9" t="s">
        <v>64</v>
      </c>
      <c r="P19" s="10">
        <f t="shared" ref="P19:V19" si="25">P13-P18</f>
        <v>9022.3299999999981</v>
      </c>
      <c r="Q19" s="10">
        <f t="shared" si="25"/>
        <v>21270.619999999995</v>
      </c>
      <c r="R19" s="10">
        <f t="shared" si="25"/>
        <v>54389.080000000009</v>
      </c>
      <c r="S19" s="10">
        <f t="shared" si="25"/>
        <v>22964.960000000003</v>
      </c>
      <c r="T19" s="10">
        <f t="shared" si="25"/>
        <v>12365.760000000013</v>
      </c>
      <c r="U19" s="10">
        <f t="shared" si="25"/>
        <v>14877.120000000012</v>
      </c>
      <c r="V19" s="10">
        <f t="shared" si="25"/>
        <v>22397.93</v>
      </c>
      <c r="W19" s="43"/>
      <c r="X19" s="60"/>
      <c r="Y19" s="60"/>
      <c r="AA19" s="48"/>
      <c r="AB19" s="9" t="s">
        <v>64</v>
      </c>
      <c r="AC19" s="10">
        <f t="shared" ref="AC19:AI19" si="26">AC13-AC18</f>
        <v>3402.180000000003</v>
      </c>
      <c r="AD19" s="10">
        <f t="shared" si="26"/>
        <v>10692.630000000001</v>
      </c>
      <c r="AE19" s="10">
        <f t="shared" si="26"/>
        <v>13462.139999999998</v>
      </c>
      <c r="AF19" s="10">
        <f t="shared" si="26"/>
        <v>7250.9899999999952</v>
      </c>
      <c r="AG19" s="10">
        <f t="shared" si="26"/>
        <v>7379.8100000000049</v>
      </c>
      <c r="AH19" s="10">
        <f t="shared" si="26"/>
        <v>6720.7400000000007</v>
      </c>
      <c r="AI19" s="10">
        <f t="shared" si="26"/>
        <v>6532.6399999999894</v>
      </c>
      <c r="AJ19" s="43"/>
      <c r="AK19" s="60"/>
      <c r="AL19" s="60"/>
    </row>
    <row r="20" spans="2:38" ht="15.5" customHeight="1" x14ac:dyDescent="0.2">
      <c r="B20" s="55" t="s">
        <v>65</v>
      </c>
      <c r="C20" s="49">
        <f t="shared" ref="C20:I20" si="27">C19/C2</f>
        <v>0.1031966833046941</v>
      </c>
      <c r="D20" s="49">
        <f t="shared" si="27"/>
        <v>0.19412818296822354</v>
      </c>
      <c r="E20" s="49">
        <f t="shared" si="27"/>
        <v>0.22622650661674784</v>
      </c>
      <c r="F20" s="119">
        <f t="shared" si="27"/>
        <v>6.6256929380573634E-2</v>
      </c>
      <c r="G20" s="119">
        <f t="shared" si="27"/>
        <v>0.11419608470566724</v>
      </c>
      <c r="H20" s="119">
        <f t="shared" si="27"/>
        <v>7.9467374306970567E-2</v>
      </c>
      <c r="I20" s="49">
        <f t="shared" si="27"/>
        <v>0.10709548714077749</v>
      </c>
      <c r="K20" s="60"/>
      <c r="L20" s="60"/>
      <c r="N20" s="47"/>
      <c r="O20" s="55"/>
      <c r="P20" s="49">
        <f t="shared" ref="P20:V20" si="28">P19/P2</f>
        <v>6.4529725179368821E-2</v>
      </c>
      <c r="Q20" s="49">
        <f t="shared" si="28"/>
        <v>0.13593413489743564</v>
      </c>
      <c r="R20" s="49">
        <f t="shared" si="28"/>
        <v>0.22294337204049353</v>
      </c>
      <c r="S20" s="49">
        <f t="shared" si="28"/>
        <v>9.4369041081896407E-2</v>
      </c>
      <c r="T20" s="49">
        <f t="shared" si="28"/>
        <v>5.3958711490182179E-2</v>
      </c>
      <c r="U20" s="49">
        <f t="shared" si="28"/>
        <v>6.8074261616195453E-2</v>
      </c>
      <c r="V20" s="49">
        <f t="shared" si="28"/>
        <v>9.648460320959848E-2</v>
      </c>
      <c r="W20" s="43"/>
      <c r="X20" s="60"/>
      <c r="Y20" s="60"/>
      <c r="AA20" s="48"/>
      <c r="AB20" s="55" t="s">
        <v>65</v>
      </c>
      <c r="AC20" s="49">
        <f t="shared" ref="AC20:AI20" si="29">AC19/AC2</f>
        <v>8.9712389701393863E-2</v>
      </c>
      <c r="AD20" s="49">
        <f t="shared" si="29"/>
        <v>0.30922412222482498</v>
      </c>
      <c r="AE20" s="49">
        <f t="shared" si="29"/>
        <v>0.26310899267555332</v>
      </c>
      <c r="AF20" s="49">
        <f t="shared" si="29"/>
        <v>0.13626729700636245</v>
      </c>
      <c r="AG20" s="49">
        <f t="shared" si="29"/>
        <v>0.14655725561494576</v>
      </c>
      <c r="AH20" s="49">
        <f t="shared" si="29"/>
        <v>0.13406981156089151</v>
      </c>
      <c r="AI20" s="49">
        <f t="shared" si="29"/>
        <v>0.12220855544445433</v>
      </c>
      <c r="AJ20" s="43"/>
      <c r="AK20" s="60"/>
      <c r="AL20" s="60"/>
    </row>
    <row r="21" spans="2:38" ht="15.5" customHeight="1" x14ac:dyDescent="0.2">
      <c r="B21" s="5" t="s">
        <v>66</v>
      </c>
      <c r="C21" s="6">
        <v>4265</v>
      </c>
      <c r="D21" s="6">
        <v>3957</v>
      </c>
      <c r="E21" s="116">
        <v>4968</v>
      </c>
      <c r="F21" s="116">
        <v>6902</v>
      </c>
      <c r="G21" s="116">
        <v>8105</v>
      </c>
      <c r="H21" s="6">
        <v>8412</v>
      </c>
      <c r="I21" s="6">
        <v>9102</v>
      </c>
      <c r="K21" s="60">
        <f>(I21/D21)^(1/5)-1</f>
        <v>0.18128354988110096</v>
      </c>
      <c r="L21" s="60">
        <f>(I21/F21)^(1/3)-1</f>
        <v>9.6614436086579714E-2</v>
      </c>
      <c r="N21" s="47"/>
      <c r="O21" s="5" t="s">
        <v>66</v>
      </c>
      <c r="P21" s="6">
        <v>7533.46</v>
      </c>
      <c r="Q21" s="6">
        <v>7606.71</v>
      </c>
      <c r="R21" s="6">
        <v>5462.2</v>
      </c>
      <c r="S21" s="6">
        <v>6298.7</v>
      </c>
      <c r="T21" s="6">
        <v>7507.57</v>
      </c>
      <c r="U21" s="6">
        <v>7340.95</v>
      </c>
      <c r="V21" s="6">
        <v>7167.06</v>
      </c>
      <c r="W21" s="43"/>
      <c r="X21" s="60">
        <f>(V21/Q21)^(1/5)-1</f>
        <v>-1.183643643115273E-2</v>
      </c>
      <c r="Y21" s="60">
        <f>(V21/S21)^(1/3)-1</f>
        <v>4.3990881535309834E-2</v>
      </c>
      <c r="AA21" s="48"/>
      <c r="AB21" s="5" t="s">
        <v>66</v>
      </c>
      <c r="AC21" s="6">
        <v>3767.88</v>
      </c>
      <c r="AD21" s="6">
        <v>2753.34</v>
      </c>
      <c r="AE21" s="6">
        <v>1887.71</v>
      </c>
      <c r="AF21" s="6">
        <v>1445.89</v>
      </c>
      <c r="AG21" s="6">
        <v>1294.23</v>
      </c>
      <c r="AH21" s="6">
        <v>1312.08</v>
      </c>
      <c r="AI21" s="6">
        <v>1516.64</v>
      </c>
      <c r="AJ21" s="43"/>
      <c r="AK21" s="60">
        <f>(AI21/AD21)^(1/5)-1</f>
        <v>-0.11242608064721815</v>
      </c>
      <c r="AL21" s="60">
        <f>(AI21/AF21)^(1/3)-1</f>
        <v>1.6051568501552982E-2</v>
      </c>
    </row>
    <row r="22" spans="2:38" ht="15.5" customHeight="1" x14ac:dyDescent="0.2">
      <c r="B22" s="5"/>
      <c r="C22" s="6"/>
      <c r="D22" s="49">
        <f t="shared" ref="D22:I22" si="30">D21/C21-1</f>
        <v>-7.2215709261430283E-2</v>
      </c>
      <c r="E22" s="49">
        <f t="shared" si="30"/>
        <v>0.25549658832448818</v>
      </c>
      <c r="F22" s="49">
        <f t="shared" si="30"/>
        <v>0.38929146537842185</v>
      </c>
      <c r="G22" s="49">
        <f t="shared" si="30"/>
        <v>0.17429730512894803</v>
      </c>
      <c r="H22" s="49">
        <f t="shared" si="30"/>
        <v>3.7877853177051168E-2</v>
      </c>
      <c r="I22" s="49">
        <f t="shared" si="30"/>
        <v>8.2025677603423608E-2</v>
      </c>
      <c r="K22" s="60"/>
      <c r="L22" s="60"/>
      <c r="N22" s="47"/>
      <c r="O22" s="5"/>
      <c r="P22" s="6"/>
      <c r="Q22" s="6"/>
      <c r="R22" s="6"/>
      <c r="S22" s="6"/>
      <c r="T22" s="6"/>
      <c r="U22" s="6"/>
      <c r="V22" s="6"/>
      <c r="W22" s="43"/>
      <c r="X22" s="60"/>
      <c r="Y22" s="60"/>
      <c r="AA22" s="48"/>
      <c r="AB22" s="5"/>
      <c r="AC22" s="6"/>
      <c r="AD22" s="6"/>
      <c r="AE22" s="6"/>
      <c r="AF22" s="6"/>
      <c r="AG22" s="6"/>
      <c r="AH22" s="6"/>
      <c r="AI22" s="6"/>
      <c r="AJ22" s="43"/>
      <c r="AK22" s="60"/>
      <c r="AL22" s="60"/>
    </row>
    <row r="23" spans="2:38" ht="15.5" customHeight="1" x14ac:dyDescent="0.2">
      <c r="B23" s="15" t="s">
        <v>67</v>
      </c>
      <c r="C23" s="100">
        <f t="shared" ref="C23:I23" si="31">C19/C21</f>
        <v>1.7742086752637749</v>
      </c>
      <c r="D23" s="100">
        <f t="shared" si="31"/>
        <v>3.9168562041950974</v>
      </c>
      <c r="E23" s="126">
        <f>E19/E21</f>
        <v>6.6652576489533013</v>
      </c>
      <c r="F23" s="100">
        <f t="shared" si="31"/>
        <v>1.5931614024920313</v>
      </c>
      <c r="G23" s="100">
        <f t="shared" si="31"/>
        <v>2.4657618753855646</v>
      </c>
      <c r="H23" s="100">
        <f t="shared" si="31"/>
        <v>1.594864479315264</v>
      </c>
      <c r="I23" s="100">
        <f t="shared" si="31"/>
        <v>2.1822676334871458</v>
      </c>
      <c r="K23" s="60">
        <f>(I23/D23)^(1/5)-1</f>
        <v>-0.11040142885056015</v>
      </c>
      <c r="L23" s="60">
        <f>(I23/F23)^(1/3)-1</f>
        <v>0.11057888396056326</v>
      </c>
      <c r="N23" s="47"/>
      <c r="O23" s="15" t="s">
        <v>67</v>
      </c>
      <c r="P23" s="100">
        <f t="shared" ref="P23:V23" si="32">P19/P21</f>
        <v>1.1976342875650761</v>
      </c>
      <c r="Q23" s="100">
        <f t="shared" si="32"/>
        <v>2.796296953610693</v>
      </c>
      <c r="R23" s="100">
        <f t="shared" si="32"/>
        <v>9.9573578411629029</v>
      </c>
      <c r="S23" s="100">
        <f t="shared" si="32"/>
        <v>3.6459840919554836</v>
      </c>
      <c r="T23" s="100">
        <f t="shared" si="32"/>
        <v>1.647105521493641</v>
      </c>
      <c r="U23" s="100">
        <f t="shared" si="32"/>
        <v>2.0265932883346176</v>
      </c>
      <c r="V23" s="100">
        <f t="shared" si="32"/>
        <v>3.1251210398685094</v>
      </c>
      <c r="W23" s="45"/>
      <c r="X23" s="60">
        <f>(V23/Q23)^(1/5)-1</f>
        <v>2.2484446912792722E-2</v>
      </c>
      <c r="Y23" s="60">
        <f>(V23/S23)^(1/3)-1</f>
        <v>-5.0086577388451681E-2</v>
      </c>
      <c r="AA23" s="48"/>
      <c r="AB23" s="15" t="s">
        <v>67</v>
      </c>
      <c r="AC23" s="16">
        <f t="shared" ref="AC23:AI23" si="33">AC19/AC21</f>
        <v>0.90294276887799052</v>
      </c>
      <c r="AD23" s="16">
        <f t="shared" si="33"/>
        <v>3.8835123885898581</v>
      </c>
      <c r="AE23" s="16">
        <f t="shared" si="33"/>
        <v>7.1314661680024987</v>
      </c>
      <c r="AF23" s="16">
        <f t="shared" si="33"/>
        <v>5.0148973988339325</v>
      </c>
      <c r="AG23" s="16">
        <f t="shared" si="33"/>
        <v>5.7020854098576024</v>
      </c>
      <c r="AH23" s="16">
        <f t="shared" si="33"/>
        <v>5.1222029144564365</v>
      </c>
      <c r="AI23" s="16">
        <f t="shared" si="33"/>
        <v>4.3073108977740198</v>
      </c>
      <c r="AJ23" s="45"/>
      <c r="AK23" s="60">
        <f>(AI23/AD23)^(1/5)-1</f>
        <v>2.0930797520097633E-2</v>
      </c>
      <c r="AL23" s="60">
        <f>(AI23/AF23)^(1/3)-1</f>
        <v>-4.9435941562251617E-2</v>
      </c>
    </row>
    <row r="24" spans="2:38" ht="15.5" customHeight="1" x14ac:dyDescent="0.2">
      <c r="B24" s="5" t="s">
        <v>68</v>
      </c>
      <c r="C24" s="6">
        <f t="shared" ref="C24:I24" si="34">C19+C16-C21</f>
        <v>3013</v>
      </c>
      <c r="D24" s="6">
        <f t="shared" si="34"/>
        <v>12015</v>
      </c>
      <c r="E24" s="124">
        <f t="shared" si="34"/>
        <v>29745</v>
      </c>
      <c r="F24" s="121">
        <f t="shared" si="34"/>
        <v>5655</v>
      </c>
      <c r="G24" s="6">
        <f t="shared" si="34"/>
        <v>13380</v>
      </c>
      <c r="H24" s="6">
        <f t="shared" si="34"/>
        <v>5077</v>
      </c>
      <c r="I24" s="6">
        <f t="shared" si="34"/>
        <v>29250</v>
      </c>
      <c r="K24" s="60">
        <f>(I24/D24)^(1/5)-1</f>
        <v>0.19475929808457382</v>
      </c>
      <c r="L24" s="60">
        <f>(I24/F24)^(1/3)-1</f>
        <v>0.72940915516645788</v>
      </c>
      <c r="N24" s="47"/>
      <c r="O24" s="5" t="s">
        <v>68</v>
      </c>
      <c r="P24" s="6">
        <f t="shared" ref="P24:V24" si="35">P19+P16-P21</f>
        <v>-1394.760000000002</v>
      </c>
      <c r="Q24" s="6">
        <f t="shared" si="35"/>
        <v>13843.689999999995</v>
      </c>
      <c r="R24" s="6">
        <f t="shared" si="35"/>
        <v>50226.87000000001</v>
      </c>
      <c r="S24" s="6">
        <f t="shared" si="35"/>
        <v>18235.120000000003</v>
      </c>
      <c r="T24" s="6">
        <f t="shared" si="35"/>
        <v>-1147.0399999999863</v>
      </c>
      <c r="U24" s="6">
        <f t="shared" si="35"/>
        <v>8412.8700000000135</v>
      </c>
      <c r="V24" s="6">
        <f t="shared" si="35"/>
        <v>15968.689999999999</v>
      </c>
      <c r="W24" s="43"/>
      <c r="X24" s="60">
        <f>(V24/Q24)^(1/5)-1</f>
        <v>2.8971828968702429E-2</v>
      </c>
      <c r="Y24" s="60">
        <f>(V24/S24)^(1/3)-1</f>
        <v>-4.3275516470198228E-2</v>
      </c>
      <c r="AA24" s="48"/>
      <c r="AB24" s="5" t="s">
        <v>68</v>
      </c>
      <c r="AC24" s="6">
        <f t="shared" ref="AC24:AI24" si="36">AC19+AC16-AC21</f>
        <v>-291.24999999999727</v>
      </c>
      <c r="AD24" s="6">
        <f t="shared" si="36"/>
        <v>6077.85</v>
      </c>
      <c r="AE24" s="6">
        <f t="shared" si="36"/>
        <v>9690.489999999998</v>
      </c>
      <c r="AF24" s="6">
        <f t="shared" si="36"/>
        <v>5266.3699999999944</v>
      </c>
      <c r="AG24" s="6">
        <f t="shared" si="36"/>
        <v>6241.2700000000041</v>
      </c>
      <c r="AH24" s="6">
        <f t="shared" si="36"/>
        <v>4343.5500000000011</v>
      </c>
      <c r="AI24" s="6">
        <f t="shared" si="36"/>
        <v>4413.1499999999887</v>
      </c>
      <c r="AJ24" s="43"/>
      <c r="AK24" s="60">
        <f>(AI24/AD24)^(1/5)-1</f>
        <v>-6.20066869682806E-2</v>
      </c>
      <c r="AL24" s="60">
        <f>(AI24/AF24)^(1/3)-1</f>
        <v>-5.7215485900668939E-2</v>
      </c>
    </row>
    <row r="25" spans="2:38" ht="15.5" customHeight="1" x14ac:dyDescent="0.2">
      <c r="B25" s="3" t="s">
        <v>49</v>
      </c>
      <c r="C25" s="4"/>
      <c r="D25" s="4">
        <f t="shared" ref="D25:I25" si="37">D24/C24-1</f>
        <v>2.9877198805177563</v>
      </c>
      <c r="E25" s="4">
        <f t="shared" si="37"/>
        <v>1.4756554307116105</v>
      </c>
      <c r="F25" s="4">
        <f t="shared" si="37"/>
        <v>-0.8098840141200202</v>
      </c>
      <c r="G25" s="4">
        <f t="shared" si="37"/>
        <v>1.3660477453580904</v>
      </c>
      <c r="H25" s="4">
        <f t="shared" si="37"/>
        <v>-0.62055306427503742</v>
      </c>
      <c r="I25" s="4">
        <f t="shared" si="37"/>
        <v>4.7612763442978139</v>
      </c>
      <c r="K25" s="60"/>
      <c r="L25" s="60"/>
      <c r="N25" s="47"/>
      <c r="O25" s="3" t="s">
        <v>49</v>
      </c>
      <c r="P25" s="4"/>
      <c r="Q25" s="4">
        <f>Q24/P24-1</f>
        <v>-10.925499727551676</v>
      </c>
      <c r="R25" s="4">
        <f>R24/Q24-1</f>
        <v>2.6281417743390691</v>
      </c>
      <c r="S25" s="4">
        <f>S24/R24-1</f>
        <v>-0.63694492609234854</v>
      </c>
      <c r="T25" s="4">
        <f>T24/S24-1</f>
        <v>-1.0629027941686144</v>
      </c>
      <c r="U25" s="4">
        <f>U24/T24-1</f>
        <v>-8.3344172827452532</v>
      </c>
      <c r="V25" s="4">
        <v>0.89812632312160168</v>
      </c>
      <c r="W25" s="44"/>
      <c r="X25" s="60"/>
      <c r="Y25" s="60"/>
      <c r="AA25" s="48"/>
      <c r="AB25" s="3" t="s">
        <v>49</v>
      </c>
      <c r="AC25" s="4">
        <v>-0.89604488719308817</v>
      </c>
      <c r="AD25" s="4">
        <f>AD24/AC24-1</f>
        <v>-21.868154506437964</v>
      </c>
      <c r="AE25" s="4">
        <v>0.59439439933529137</v>
      </c>
      <c r="AF25" s="4">
        <v>-0.45654244522206849</v>
      </c>
      <c r="AG25" s="4">
        <v>0.18511802247088821</v>
      </c>
      <c r="AH25" s="4">
        <v>-0.30405991088352269</v>
      </c>
      <c r="AI25" s="4">
        <v>1.602375936733513E-2</v>
      </c>
      <c r="AJ25" s="44"/>
      <c r="AK25" s="60"/>
      <c r="AL25" s="60"/>
    </row>
    <row r="26" spans="2:38" ht="15.5" customHeight="1" x14ac:dyDescent="0.2">
      <c r="B26" s="3" t="s">
        <v>13</v>
      </c>
      <c r="C26" s="4">
        <f t="shared" ref="C26:I26" si="38">C24/C2</f>
        <v>4.1090472683632001E-2</v>
      </c>
      <c r="D26" s="4">
        <f t="shared" si="38"/>
        <v>0.15049036185322962</v>
      </c>
      <c r="E26" s="120">
        <f t="shared" si="38"/>
        <v>0.20321648413961782</v>
      </c>
      <c r="F26" s="120">
        <f t="shared" si="38"/>
        <v>3.4074475777295735E-2</v>
      </c>
      <c r="G26" s="4">
        <f t="shared" si="38"/>
        <v>7.645452155926083E-2</v>
      </c>
      <c r="H26" s="4">
        <f t="shared" si="38"/>
        <v>3.007273847320286E-2</v>
      </c>
      <c r="I26" s="4">
        <f t="shared" si="38"/>
        <v>0.15770744594813177</v>
      </c>
      <c r="K26" s="60">
        <f>(I26/D26)^(1/5)-1</f>
        <v>9.4125555691872975E-3</v>
      </c>
      <c r="L26" s="60">
        <f>(I26/F26)^(1/3)-1</f>
        <v>0.66650903210800028</v>
      </c>
      <c r="N26" s="47"/>
      <c r="O26" s="3" t="s">
        <v>13</v>
      </c>
      <c r="P26" s="4">
        <f t="shared" ref="P26:U26" si="39">P24/P2</f>
        <v>-9.975635948937427E-3</v>
      </c>
      <c r="Q26" s="4">
        <f t="shared" si="39"/>
        <v>8.8470859050572129E-2</v>
      </c>
      <c r="R26" s="4">
        <f t="shared" si="39"/>
        <v>0.20588227939945855</v>
      </c>
      <c r="S26" s="4">
        <f t="shared" si="39"/>
        <v>7.4932888557755428E-2</v>
      </c>
      <c r="T26" s="4">
        <f t="shared" si="39"/>
        <v>-5.0051756161932437E-3</v>
      </c>
      <c r="U26" s="4">
        <f t="shared" si="39"/>
        <v>3.8495348113280176E-2</v>
      </c>
      <c r="V26" s="4">
        <v>6.8789067490928099E-2</v>
      </c>
      <c r="W26" s="44"/>
      <c r="X26" s="60">
        <f>(V26/Q26)^(1/5)-1</f>
        <v>-4.9080319927608529E-2</v>
      </c>
      <c r="Y26" s="60">
        <f>(V26/S26)^(1/3)-1</f>
        <v>-2.8113276948956267E-2</v>
      </c>
      <c r="AA26" s="48"/>
      <c r="AB26" s="3" t="s">
        <v>13</v>
      </c>
      <c r="AC26" s="4">
        <f>AC24/AC2</f>
        <v>-7.6799973841862263E-3</v>
      </c>
      <c r="AD26" s="4">
        <v>0.17576759237569731</v>
      </c>
      <c r="AE26" s="4">
        <v>0.18939448426717609</v>
      </c>
      <c r="AF26" s="4">
        <v>9.897048609023E-2</v>
      </c>
      <c r="AG26" s="4">
        <v>0.12394674154915809</v>
      </c>
      <c r="AH26" s="4">
        <v>8.6648037270495554E-2</v>
      </c>
      <c r="AI26" s="4">
        <v>8.2558458212865421E-2</v>
      </c>
      <c r="AJ26" s="44"/>
      <c r="AK26" s="60">
        <f>(AI26/AD26)^(1/5)-1</f>
        <v>-0.14026510556935656</v>
      </c>
      <c r="AL26" s="60">
        <f>(AI26/AF26)^(1/3)-1</f>
        <v>-5.8648201122780019E-2</v>
      </c>
    </row>
    <row r="27" spans="2:38" ht="15.5" customHeight="1" x14ac:dyDescent="0.2">
      <c r="B27" s="5" t="s">
        <v>69</v>
      </c>
      <c r="C27" s="6">
        <v>-906</v>
      </c>
      <c r="D27" s="6">
        <v>4142</v>
      </c>
      <c r="E27" s="6">
        <v>8807</v>
      </c>
      <c r="F27" s="6">
        <v>1516</v>
      </c>
      <c r="G27" s="6">
        <v>4407</v>
      </c>
      <c r="H27" s="6">
        <v>1586</v>
      </c>
      <c r="I27" s="6">
        <v>3742</v>
      </c>
      <c r="K27" s="60">
        <f>(I27/D27)^(1/5)-1</f>
        <v>-2.0106813891196729E-2</v>
      </c>
      <c r="L27" s="60">
        <f>(I27/F27)^(1/3)-1</f>
        <v>0.35145480678872576</v>
      </c>
      <c r="N27" s="47"/>
      <c r="O27" s="5" t="s">
        <v>69</v>
      </c>
      <c r="P27" s="6">
        <v>-2568.41</v>
      </c>
      <c r="Q27" s="6">
        <v>5653.9</v>
      </c>
      <c r="R27" s="6">
        <v>8477.5499999999993</v>
      </c>
      <c r="S27" s="6">
        <v>10159.77</v>
      </c>
      <c r="T27" s="6">
        <v>3762.57</v>
      </c>
      <c r="U27" s="6">
        <v>5239.09</v>
      </c>
      <c r="V27" s="6">
        <v>5082.87</v>
      </c>
      <c r="W27" s="43"/>
      <c r="X27" s="60">
        <f>(V27/Q27)^(1/5)-1</f>
        <v>-2.1068787522100285E-2</v>
      </c>
      <c r="Y27" s="60">
        <f>(V27/S27)^(1/3)-1</f>
        <v>-0.20614404187746305</v>
      </c>
      <c r="AA27" s="48"/>
      <c r="AB27" s="5" t="s">
        <v>69</v>
      </c>
      <c r="AC27" s="6">
        <v>108.45</v>
      </c>
      <c r="AD27" s="6">
        <v>1810.81</v>
      </c>
      <c r="AE27" s="6">
        <v>2924.53</v>
      </c>
      <c r="AF27" s="6">
        <v>1292.28</v>
      </c>
      <c r="AG27" s="6">
        <v>297.95</v>
      </c>
      <c r="AH27" s="6">
        <v>1497.87</v>
      </c>
      <c r="AI27" s="6">
        <v>1052.28</v>
      </c>
      <c r="AJ27" s="43"/>
      <c r="AK27" s="60">
        <f>(AI27/AD27)^(1/5)-1</f>
        <v>-0.10287762933115197</v>
      </c>
      <c r="AL27" s="60">
        <f>(AI27/AF27)^(1/3)-1</f>
        <v>-6.6190622177272007E-2</v>
      </c>
    </row>
    <row r="28" spans="2:38" ht="15.5" customHeight="1" x14ac:dyDescent="0.2">
      <c r="B28" s="17" t="s">
        <v>70</v>
      </c>
      <c r="C28" s="70">
        <v>-0.30069697975439758</v>
      </c>
      <c r="D28" s="70">
        <v>0.34473574698293802</v>
      </c>
      <c r="E28" s="70">
        <v>0.29608337535720292</v>
      </c>
      <c r="F28" s="70">
        <v>0.26808134394341288</v>
      </c>
      <c r="G28" s="70">
        <v>0.32937219730941703</v>
      </c>
      <c r="H28" s="70">
        <v>0.31238920622414812</v>
      </c>
      <c r="I28" s="70">
        <v>0.12793162393162391</v>
      </c>
      <c r="K28" s="60">
        <f>(I28/D28)^(1/5)-1</f>
        <v>-0.17984050203270385</v>
      </c>
      <c r="L28" s="60">
        <f>(I28/F28)^(1/3)-1</f>
        <v>-0.21854536114176737</v>
      </c>
      <c r="N28" s="47"/>
      <c r="O28" s="17" t="s">
        <v>70</v>
      </c>
      <c r="P28" s="70">
        <v>1.8414709340675059</v>
      </c>
      <c r="Q28" s="70">
        <v>0.40840989649435999</v>
      </c>
      <c r="R28" s="70">
        <v>0.1687851542411461</v>
      </c>
      <c r="S28" s="70">
        <v>0.55715399734139304</v>
      </c>
      <c r="T28" s="70">
        <v>-3.2802430603988961</v>
      </c>
      <c r="U28" s="70">
        <v>0.62274705302708944</v>
      </c>
      <c r="V28" s="70">
        <v>0.31830225272079299</v>
      </c>
      <c r="W28" s="71"/>
      <c r="X28" s="62">
        <f>(V28/Q28)^(1/5)-1</f>
        <v>-4.8631668119579863E-2</v>
      </c>
      <c r="Y28" s="62">
        <f>(V28/S28)^(1/3)-1</f>
        <v>-0.17023555706065618</v>
      </c>
      <c r="AA28" s="48"/>
      <c r="AB28" s="17" t="s">
        <v>70</v>
      </c>
      <c r="AC28" s="70">
        <v>-0.37236051502146272</v>
      </c>
      <c r="AD28" s="70">
        <v>0.29793594774467952</v>
      </c>
      <c r="AE28" s="70">
        <v>0.3017938205395187</v>
      </c>
      <c r="AF28" s="70">
        <v>0.24538344248505159</v>
      </c>
      <c r="AG28" s="70">
        <v>4.7738681390165738E-2</v>
      </c>
      <c r="AH28" s="70">
        <v>0.34484925924646892</v>
      </c>
      <c r="AI28" s="70">
        <v>0.23844192923422111</v>
      </c>
      <c r="AJ28" s="71"/>
      <c r="AK28" s="62">
        <f>(AI28/AD28)^(1/5)-1</f>
        <v>-4.3572743851201912E-2</v>
      </c>
      <c r="AL28" s="62">
        <f>(AI28/AF28)^(1/3)-1</f>
        <v>-9.5198172460193575E-3</v>
      </c>
    </row>
    <row r="29" spans="2:38" ht="15.5" customHeight="1" x14ac:dyDescent="0.2">
      <c r="B29" s="9" t="s">
        <v>71</v>
      </c>
      <c r="C29" s="10">
        <f t="shared" ref="C29:I29" si="40">C24-C27</f>
        <v>3919</v>
      </c>
      <c r="D29" s="10">
        <f t="shared" si="40"/>
        <v>7873</v>
      </c>
      <c r="E29" s="123">
        <f t="shared" si="40"/>
        <v>20938</v>
      </c>
      <c r="F29" s="10">
        <f t="shared" si="40"/>
        <v>4139</v>
      </c>
      <c r="G29" s="10">
        <f t="shared" si="40"/>
        <v>8973</v>
      </c>
      <c r="H29" s="10">
        <f>H24-H27</f>
        <v>3491</v>
      </c>
      <c r="I29" s="10">
        <f t="shared" si="40"/>
        <v>25508</v>
      </c>
      <c r="K29" s="60">
        <f>(I29/D29)^(1/5)-1</f>
        <v>0.26504866127429172</v>
      </c>
      <c r="L29" s="60">
        <f>(I29/F29)^(1/3)-1</f>
        <v>0.83341308810862635</v>
      </c>
      <c r="N29" s="47"/>
      <c r="O29" s="9" t="s">
        <v>71</v>
      </c>
      <c r="P29" s="10">
        <f t="shared" ref="P29:V29" si="41">P24-P27</f>
        <v>1173.6499999999978</v>
      </c>
      <c r="Q29" s="10">
        <f t="shared" si="41"/>
        <v>8189.7899999999954</v>
      </c>
      <c r="R29" s="10">
        <f t="shared" si="41"/>
        <v>41749.320000000007</v>
      </c>
      <c r="S29" s="10">
        <f t="shared" si="41"/>
        <v>8075.3500000000022</v>
      </c>
      <c r="T29" s="10">
        <f t="shared" si="41"/>
        <v>-4909.609999999986</v>
      </c>
      <c r="U29" s="10">
        <f t="shared" si="41"/>
        <v>3173.7800000000134</v>
      </c>
      <c r="V29" s="10">
        <f t="shared" si="41"/>
        <v>10885.82</v>
      </c>
      <c r="W29" s="56"/>
      <c r="X29" s="64">
        <f>(V29/Q29)^(1/5)-1</f>
        <v>5.8565356009628866E-2</v>
      </c>
      <c r="Y29" s="64">
        <f>(V29/S29)^(1/3)-1</f>
        <v>0.10467179308482688</v>
      </c>
      <c r="AA29" s="48"/>
      <c r="AB29" s="9" t="s">
        <v>71</v>
      </c>
      <c r="AC29" s="10">
        <f t="shared" ref="AC29:AI29" si="42">AC24-AC27</f>
        <v>-399.69999999999726</v>
      </c>
      <c r="AD29" s="10">
        <f t="shared" si="42"/>
        <v>4267.0400000000009</v>
      </c>
      <c r="AE29" s="10">
        <f t="shared" si="42"/>
        <v>6765.9599999999973</v>
      </c>
      <c r="AF29" s="10">
        <f t="shared" si="42"/>
        <v>3974.0899999999947</v>
      </c>
      <c r="AG29" s="10">
        <f t="shared" si="42"/>
        <v>5943.3200000000043</v>
      </c>
      <c r="AH29" s="10">
        <f t="shared" si="42"/>
        <v>2845.6800000000012</v>
      </c>
      <c r="AI29" s="10">
        <f t="shared" si="42"/>
        <v>3360.869999999989</v>
      </c>
      <c r="AJ29" s="56"/>
      <c r="AK29" s="64">
        <f>(AI29/AD29)^(1/5)-1</f>
        <v>-4.6622276568032528E-2</v>
      </c>
      <c r="AL29" s="64">
        <f>(AI29/AF29)^(1/3)-1</f>
        <v>-5.4333498360195742E-2</v>
      </c>
    </row>
    <row r="30" spans="2:38" ht="15.5" customHeight="1" x14ac:dyDescent="0.2">
      <c r="B30" s="13" t="s">
        <v>49</v>
      </c>
      <c r="C30" s="14"/>
      <c r="D30" s="14">
        <f t="shared" ref="D30:I30" si="43">D29/C29-1</f>
        <v>1.0089308497065579</v>
      </c>
      <c r="E30" s="125">
        <f t="shared" si="43"/>
        <v>1.6594690715102249</v>
      </c>
      <c r="F30" s="14">
        <f t="shared" si="43"/>
        <v>-0.80232113859967524</v>
      </c>
      <c r="G30" s="14">
        <f t="shared" si="43"/>
        <v>1.1679149553032135</v>
      </c>
      <c r="H30" s="14">
        <f t="shared" si="43"/>
        <v>-0.61094394293993093</v>
      </c>
      <c r="I30" s="14">
        <f t="shared" si="43"/>
        <v>6.3067888857061014</v>
      </c>
      <c r="K30" s="67"/>
      <c r="L30" s="67"/>
      <c r="N30" s="47"/>
      <c r="O30" s="13" t="s">
        <v>49</v>
      </c>
      <c r="P30" s="14">
        <v>-0.87134091997847041</v>
      </c>
      <c r="Q30" s="14">
        <f t="shared" ref="Q30:V30" si="44">Q29/P29-1</f>
        <v>5.9780513781791935</v>
      </c>
      <c r="R30" s="14">
        <f t="shared" si="44"/>
        <v>4.0977277805658057</v>
      </c>
      <c r="S30" s="14">
        <f t="shared" si="44"/>
        <v>-0.80657529272333051</v>
      </c>
      <c r="T30" s="14">
        <f t="shared" si="44"/>
        <v>-1.6079748865374237</v>
      </c>
      <c r="U30" s="14">
        <f t="shared" si="44"/>
        <v>-1.6464423854440624</v>
      </c>
      <c r="V30" s="14">
        <f t="shared" si="44"/>
        <v>2.4299226789506374</v>
      </c>
      <c r="W30" s="72"/>
      <c r="X30" s="67"/>
      <c r="Y30" s="67"/>
      <c r="AA30" s="48"/>
      <c r="AB30" s="13" t="s">
        <v>49</v>
      </c>
      <c r="AC30" s="14"/>
      <c r="AD30" s="14">
        <f t="shared" ref="AD30:AI30" si="45">AD29/AC29-1</f>
        <v>-11.675606705028846</v>
      </c>
      <c r="AE30" s="14">
        <f t="shared" si="45"/>
        <v>0.58563313210094026</v>
      </c>
      <c r="AF30" s="14">
        <f t="shared" si="45"/>
        <v>-0.41263471850262246</v>
      </c>
      <c r="AG30" s="14">
        <f t="shared" si="45"/>
        <v>0.49551721274556249</v>
      </c>
      <c r="AH30" s="14">
        <f t="shared" si="45"/>
        <v>-0.52119690677937602</v>
      </c>
      <c r="AI30" s="14">
        <f t="shared" si="45"/>
        <v>0.18104284388968095</v>
      </c>
      <c r="AJ30" s="72"/>
      <c r="AK30" s="67"/>
      <c r="AL30" s="67"/>
    </row>
    <row r="31" spans="2:38" ht="15.5" customHeight="1" x14ac:dyDescent="0.2">
      <c r="B31" s="3" t="s">
        <v>31</v>
      </c>
      <c r="C31" s="4">
        <f t="shared" ref="C31:I31" si="46">C29/C2</f>
        <v>5.3446253716280721E-2</v>
      </c>
      <c r="D31" s="4">
        <f t="shared" si="46"/>
        <v>9.861095454602388E-2</v>
      </c>
      <c r="E31" s="4">
        <f t="shared" si="46"/>
        <v>0.14304746158733628</v>
      </c>
      <c r="F31" s="4">
        <f t="shared" si="46"/>
        <v>2.4939744516751024E-2</v>
      </c>
      <c r="G31" s="4">
        <f t="shared" si="46"/>
        <v>5.1272527799046889E-2</v>
      </c>
      <c r="H31" s="4">
        <f t="shared" si="46"/>
        <v>2.0678339572572622E-2</v>
      </c>
      <c r="I31" s="4">
        <f t="shared" si="46"/>
        <v>0.13753167628187848</v>
      </c>
      <c r="K31" s="60">
        <f>(I31/D31)^(1/5)-1</f>
        <v>6.8797710252989974E-2</v>
      </c>
      <c r="L31" s="60">
        <f>(I31/F31)^(1/3)-1</f>
        <v>0.76673025107465698</v>
      </c>
      <c r="N31" s="47"/>
      <c r="O31" s="3" t="s">
        <v>31</v>
      </c>
      <c r="P31" s="4">
        <f t="shared" ref="P31:V31" si="47">P29/P2</f>
        <v>8.3942076998697792E-3</v>
      </c>
      <c r="Q31" s="4">
        <f t="shared" si="47"/>
        <v>5.2338484662960885E-2</v>
      </c>
      <c r="R31" s="4">
        <f t="shared" si="47"/>
        <v>0.17113240711550218</v>
      </c>
      <c r="S31" s="4">
        <f t="shared" si="47"/>
        <v>3.3183730165464789E-2</v>
      </c>
      <c r="T31" s="4">
        <f t="shared" si="47"/>
        <v>-2.1423368197289315E-2</v>
      </c>
      <c r="U31" s="4">
        <f t="shared" si="47"/>
        <v>1.45224835204831E-2</v>
      </c>
      <c r="V31" s="4">
        <f t="shared" si="47"/>
        <v>4.6893352346003017E-2</v>
      </c>
      <c r="W31" s="44"/>
      <c r="X31" s="60">
        <f>(V31/Q31)^(1/5)-1</f>
        <v>-2.1731595235916945E-2</v>
      </c>
      <c r="Y31" s="60">
        <f>(V31/S31)^(1/3)-1</f>
        <v>0.12217871237815991</v>
      </c>
      <c r="AA31" s="48"/>
      <c r="AB31" s="3" t="s">
        <v>31</v>
      </c>
      <c r="AC31" s="4">
        <f t="shared" ref="AC31:AI31" si="48">AC29/AC2</f>
        <v>-1.0539725165525296E-2</v>
      </c>
      <c r="AD31" s="4">
        <f t="shared" si="48"/>
        <v>0.12340010815844346</v>
      </c>
      <c r="AE31" s="4">
        <f t="shared" si="48"/>
        <v>0.13223639927107328</v>
      </c>
      <c r="AF31" s="4">
        <f t="shared" si="48"/>
        <v>7.4684767508990432E-2</v>
      </c>
      <c r="AG31" s="4">
        <f t="shared" si="48"/>
        <v>0.11802968754499363</v>
      </c>
      <c r="AH31" s="4">
        <f t="shared" si="48"/>
        <v>5.676752580260476E-2</v>
      </c>
      <c r="AI31" s="4">
        <f t="shared" si="48"/>
        <v>6.2873060161986974E-2</v>
      </c>
      <c r="AJ31" s="44"/>
      <c r="AK31" s="60">
        <f>(AI31/AD31)^(1/5)-1</f>
        <v>-0.12616424336961973</v>
      </c>
      <c r="AL31" s="60">
        <f>(AI31/AF31)^(1/3)-1</f>
        <v>-5.5770593233602894E-2</v>
      </c>
    </row>
    <row r="32" spans="2:38" ht="15.5" customHeight="1" x14ac:dyDescent="0.2">
      <c r="B32" s="5" t="s">
        <v>72</v>
      </c>
      <c r="C32" s="101">
        <v>16.212973688565281</v>
      </c>
      <c r="D32" s="101">
        <v>32.570743008439507</v>
      </c>
      <c r="E32" s="101">
        <v>86.620883667052794</v>
      </c>
      <c r="F32" s="101">
        <v>17.123117656792989</v>
      </c>
      <c r="G32" s="101">
        <v>36.69188305050092</v>
      </c>
      <c r="H32" s="101">
        <v>14.27519934573707</v>
      </c>
      <c r="I32" s="101">
        <v>104.30586792067059</v>
      </c>
      <c r="K32" s="60">
        <f>(I32/D32)^(1/5)-1</f>
        <v>0.2621071150700458</v>
      </c>
      <c r="L32" s="60">
        <f>(I32/F32)^(1/3)-1</f>
        <v>0.82631337681185624</v>
      </c>
      <c r="N32" s="47"/>
      <c r="O32" s="5" t="s">
        <v>72</v>
      </c>
      <c r="P32" s="101">
        <v>1.04186455272572</v>
      </c>
      <c r="Q32" s="101">
        <v>6.8442741456973408</v>
      </c>
      <c r="R32" s="101">
        <v>34.184328174895633</v>
      </c>
      <c r="S32" s="101">
        <v>6.6074949883402452</v>
      </c>
      <c r="T32" s="101">
        <v>-3.9328794008090799</v>
      </c>
      <c r="U32" s="101">
        <v>2.5423799415227979</v>
      </c>
      <c r="V32" s="101">
        <v>8.7201666199383183</v>
      </c>
      <c r="W32" s="102"/>
      <c r="X32" s="60">
        <f>(V32/Q32)^(1/5)-1</f>
        <v>4.9637836223539678E-2</v>
      </c>
      <c r="Y32" s="60">
        <f>(V32/S32)^(1/3)-1</f>
        <v>9.6888913398303966E-2</v>
      </c>
      <c r="AA32" s="48"/>
      <c r="AB32" s="5" t="s">
        <v>72</v>
      </c>
      <c r="AC32" s="101">
        <v>-3.9186274509803649</v>
      </c>
      <c r="AD32" s="101">
        <v>41.833725490196073</v>
      </c>
      <c r="AE32" s="101">
        <v>66.326438584452475</v>
      </c>
      <c r="AF32" s="101">
        <v>38.957847269875458</v>
      </c>
      <c r="AG32" s="101">
        <v>58.262131163611457</v>
      </c>
      <c r="AH32" s="101">
        <v>27.896088618762871</v>
      </c>
      <c r="AI32" s="101">
        <v>32.946475835702273</v>
      </c>
      <c r="AJ32" s="102"/>
      <c r="AK32" s="60">
        <f>(AI32/AD32)^(1/5)-1</f>
        <v>-4.6640969149334799E-2</v>
      </c>
      <c r="AL32" s="60">
        <f>(AI32/AF32)^(1/3)-1</f>
        <v>-5.4333498360195853E-2</v>
      </c>
    </row>
    <row r="33" spans="2:38" ht="15.5" customHeight="1" x14ac:dyDescent="0.2">
      <c r="B33" s="3" t="s">
        <v>49</v>
      </c>
      <c r="C33" s="4"/>
      <c r="D33" s="4">
        <f t="shared" ref="D33:I33" si="49">D32/C32-1</f>
        <v>1.0089308497065574</v>
      </c>
      <c r="E33" s="4">
        <f t="shared" si="49"/>
        <v>1.6594690715102258</v>
      </c>
      <c r="F33" s="4">
        <f t="shared" si="49"/>
        <v>-0.80232113859967513</v>
      </c>
      <c r="G33" s="4">
        <f t="shared" si="49"/>
        <v>1.1428272459451749</v>
      </c>
      <c r="H33" s="4">
        <f t="shared" si="49"/>
        <v>-0.61094394293993082</v>
      </c>
      <c r="I33" s="4">
        <f t="shared" si="49"/>
        <v>6.3067888857060987</v>
      </c>
      <c r="K33" s="60"/>
      <c r="L33" s="60"/>
      <c r="N33" s="47"/>
      <c r="O33" s="3" t="s">
        <v>49</v>
      </c>
      <c r="P33" s="4"/>
      <c r="Q33" s="4">
        <f t="shared" ref="Q33:V33" si="50">Q32/P32-1</f>
        <v>5.5692552144051648</v>
      </c>
      <c r="R33" s="4">
        <f t="shared" si="50"/>
        <v>3.9945878039361764</v>
      </c>
      <c r="S33" s="4">
        <f t="shared" si="50"/>
        <v>-0.8067098187644749</v>
      </c>
      <c r="T33" s="4">
        <f t="shared" si="50"/>
        <v>-1.5952148897198015</v>
      </c>
      <c r="U33" s="4">
        <f t="shared" si="50"/>
        <v>-1.6464423854440526</v>
      </c>
      <c r="V33" s="4">
        <f t="shared" si="50"/>
        <v>2.4299226789506685</v>
      </c>
      <c r="W33" s="72"/>
      <c r="X33" s="60"/>
      <c r="Y33" s="60"/>
      <c r="AA33" s="48"/>
      <c r="AB33" s="3" t="s">
        <v>49</v>
      </c>
      <c r="AC33" s="4"/>
      <c r="AD33" s="4">
        <f t="shared" ref="AD33:AI33" si="51">AD32/AC32-1</f>
        <v>-11.675606705028844</v>
      </c>
      <c r="AE33" s="4">
        <f t="shared" si="51"/>
        <v>0.58547769311141984</v>
      </c>
      <c r="AF33" s="4">
        <f t="shared" si="51"/>
        <v>-0.41263471850262234</v>
      </c>
      <c r="AG33" s="4">
        <f t="shared" si="51"/>
        <v>0.49551721274556226</v>
      </c>
      <c r="AH33" s="4">
        <f t="shared" si="51"/>
        <v>-0.52119690677937613</v>
      </c>
      <c r="AI33" s="4">
        <f t="shared" si="51"/>
        <v>0.18104284388968139</v>
      </c>
      <c r="AJ33" s="72"/>
      <c r="AK33" s="60"/>
      <c r="AL33" s="60"/>
    </row>
    <row r="34" spans="2:38" ht="15.5" customHeight="1" x14ac:dyDescent="0.2">
      <c r="B34" s="17" t="s">
        <v>73</v>
      </c>
      <c r="C34" s="103">
        <v>9.0205537126818065</v>
      </c>
      <c r="D34" s="103">
        <v>14.38253956560396</v>
      </c>
      <c r="E34" s="103">
        <v>8.4581219791766156</v>
      </c>
      <c r="F34" s="103">
        <v>40.185438994926308</v>
      </c>
      <c r="G34" s="103">
        <v>22.626257661874519</v>
      </c>
      <c r="H34" s="103">
        <v>74.478819822400467</v>
      </c>
      <c r="I34" s="103">
        <v>10.761618903873289</v>
      </c>
      <c r="K34" s="60">
        <f>(I34/D34)^(1/5)-1</f>
        <v>-5.635551468383404E-2</v>
      </c>
      <c r="L34" s="60">
        <f>(I34/F34)^(1/3)-1</f>
        <v>-0.35543067964805242</v>
      </c>
      <c r="N34" s="47"/>
      <c r="O34" s="17" t="s">
        <v>73</v>
      </c>
      <c r="P34" s="103">
        <v>25.876684190346431</v>
      </c>
      <c r="Q34" s="103">
        <v>11.86247047848604</v>
      </c>
      <c r="R34" s="103">
        <v>3.8239745222197601</v>
      </c>
      <c r="S34" s="103">
        <v>15.815373327471811</v>
      </c>
      <c r="T34" s="103">
        <v>-39.627454624705301</v>
      </c>
      <c r="U34" s="103">
        <v>60.66756485956838</v>
      </c>
      <c r="V34" s="103">
        <v>22.00187317078548</v>
      </c>
      <c r="W34" s="102"/>
      <c r="X34" s="62">
        <f>(V34/Q34)^(1/5)-1</f>
        <v>0.13150610742622826</v>
      </c>
      <c r="Y34" s="62">
        <f>(V34/S34)^(1/3)-1</f>
        <v>0.11633207412462143</v>
      </c>
      <c r="AA34" s="48"/>
      <c r="AB34" s="17" t="s">
        <v>73</v>
      </c>
      <c r="AC34" s="103">
        <v>-20.976732549412201</v>
      </c>
      <c r="AD34" s="103">
        <v>8.2134688214781235</v>
      </c>
      <c r="AE34" s="103">
        <v>8.0337496083334852</v>
      </c>
      <c r="AF34" s="103">
        <v>14.02028187585084</v>
      </c>
      <c r="AG34" s="103">
        <v>14.57464708277527</v>
      </c>
      <c r="AH34" s="103">
        <v>32.703509530235301</v>
      </c>
      <c r="AI34" s="103">
        <v>33.785100584075067</v>
      </c>
      <c r="AJ34" s="102"/>
      <c r="AK34" s="62">
        <f>(AI34/AD34)^(1/5)-1</f>
        <v>0.32690466416710806</v>
      </c>
      <c r="AL34" s="62">
        <f>(AI34/AF34)^(1/3)-1</f>
        <v>0.34067287819628689</v>
      </c>
    </row>
    <row r="35" spans="2:38" ht="15.5" customHeight="1" x14ac:dyDescent="0.2">
      <c r="B35" s="9" t="s">
        <v>74</v>
      </c>
      <c r="C35" s="10">
        <v>146.25</v>
      </c>
      <c r="D35" s="10">
        <v>468.45</v>
      </c>
      <c r="E35" s="10">
        <v>732.65</v>
      </c>
      <c r="F35" s="10">
        <v>688.1</v>
      </c>
      <c r="G35" s="10">
        <v>830.2</v>
      </c>
      <c r="H35" s="10">
        <v>1063.2</v>
      </c>
      <c r="I35" s="10">
        <v>1122.5</v>
      </c>
      <c r="K35" s="60">
        <f>(I35/D35)^(1/5)-1</f>
        <v>0.19098041901414442</v>
      </c>
      <c r="L35" s="60">
        <f>(I35/F35)^(1/3)-1</f>
        <v>0.17718557204128893</v>
      </c>
      <c r="N35" s="47"/>
      <c r="O35" s="9" t="s">
        <v>74</v>
      </c>
      <c r="P35" s="10">
        <v>26.96</v>
      </c>
      <c r="Q35" s="10">
        <v>81.19</v>
      </c>
      <c r="R35" s="10">
        <v>130.72</v>
      </c>
      <c r="S35" s="10">
        <v>104.5</v>
      </c>
      <c r="T35" s="10">
        <v>155.85</v>
      </c>
      <c r="U35" s="10">
        <v>154.24</v>
      </c>
      <c r="V35" s="10">
        <v>191.86</v>
      </c>
      <c r="W35" s="56"/>
      <c r="X35" s="64">
        <f>(V35/Q35)^(1/5)-1</f>
        <v>0.18767162227258627</v>
      </c>
      <c r="Y35" s="64">
        <f>(V35/S35)^(1/3)-1</f>
        <v>0.22449227577823105</v>
      </c>
      <c r="AA35" s="48"/>
      <c r="AB35" s="9" t="s">
        <v>74</v>
      </c>
      <c r="AC35" s="10">
        <v>82.2</v>
      </c>
      <c r="AD35" s="10">
        <v>343.6</v>
      </c>
      <c r="AE35" s="10">
        <v>532.85</v>
      </c>
      <c r="AF35" s="10">
        <v>546.20000000000005</v>
      </c>
      <c r="AG35" s="10">
        <v>849.15</v>
      </c>
      <c r="AH35" s="10">
        <v>912.3</v>
      </c>
      <c r="AI35" s="10">
        <v>1113.0999999999999</v>
      </c>
      <c r="AJ35" s="56"/>
      <c r="AK35" s="64">
        <f>(AI35/AD35)^(1/5)-1</f>
        <v>0.26501654466158153</v>
      </c>
      <c r="AL35" s="64">
        <f>(AI35/AF35)^(1/3)-1</f>
        <v>0.26782943056724995</v>
      </c>
    </row>
    <row r="36" spans="2:38" ht="15.5" customHeight="1" x14ac:dyDescent="0.2">
      <c r="B36" s="5" t="s">
        <v>75</v>
      </c>
      <c r="C36" s="6">
        <v>35351.550000000003</v>
      </c>
      <c r="D36" s="6">
        <v>113233.734</v>
      </c>
      <c r="E36" s="6">
        <v>177096.158</v>
      </c>
      <c r="F36" s="6">
        <v>166327.53200000001</v>
      </c>
      <c r="G36" s="6">
        <v>203025.41</v>
      </c>
      <c r="H36" s="6">
        <v>260005.56</v>
      </c>
      <c r="I36" s="6">
        <v>274507.375</v>
      </c>
      <c r="K36" s="60">
        <f>(I36/D36)^(1/5)-1</f>
        <v>0.19375619286808377</v>
      </c>
      <c r="L36" s="60">
        <f>(I36/F36)^(1/3)-1</f>
        <v>0.18176182812654273</v>
      </c>
      <c r="N36" s="47"/>
      <c r="O36" s="5" t="s">
        <v>75</v>
      </c>
      <c r="P36" s="6">
        <v>30370.170399999999</v>
      </c>
      <c r="Q36" s="6">
        <v>97151.142099999997</v>
      </c>
      <c r="R36" s="6">
        <v>159648.33600000001</v>
      </c>
      <c r="S36" s="6">
        <v>127714.675</v>
      </c>
      <c r="T36" s="6">
        <v>194555.3475</v>
      </c>
      <c r="U36" s="6">
        <v>192545.50399999999</v>
      </c>
      <c r="V36" s="6">
        <v>239508.43100000001</v>
      </c>
      <c r="W36" s="71"/>
      <c r="X36" s="60">
        <f>(V36/Q36)^(1/5)-1</f>
        <v>0.19777316543471524</v>
      </c>
      <c r="Y36" s="60">
        <f>(V36/S36)^(1/3)-1</f>
        <v>0.23318055400134785</v>
      </c>
      <c r="AA36" s="48"/>
      <c r="AB36" s="5" t="s">
        <v>75</v>
      </c>
      <c r="AC36" s="6">
        <v>8384.4</v>
      </c>
      <c r="AD36" s="6">
        <v>35047.199999999997</v>
      </c>
      <c r="AE36" s="6">
        <v>54356.028500000008</v>
      </c>
      <c r="AF36" s="6">
        <v>55717.862000000008</v>
      </c>
      <c r="AG36" s="6">
        <v>86621.791500000007</v>
      </c>
      <c r="AH36" s="6">
        <v>93063.722999999998</v>
      </c>
      <c r="AI36" s="6">
        <v>113547.33100000001</v>
      </c>
      <c r="AJ36" s="71"/>
      <c r="AK36" s="60">
        <f>(AI36/AD36)^(1/5)-1</f>
        <v>0.2650413479348972</v>
      </c>
      <c r="AL36" s="60">
        <f>(AI36/AF36)^(1/3)-1</f>
        <v>0.26782943056724995</v>
      </c>
    </row>
    <row r="38" spans="2:38" x14ac:dyDescent="0.2">
      <c r="AC38" s="50"/>
      <c r="AD38" s="50"/>
      <c r="AE38" s="50"/>
      <c r="AF38" s="50"/>
      <c r="AG38" s="50"/>
      <c r="AH38" s="50"/>
      <c r="AI38" s="50"/>
    </row>
    <row r="39" spans="2:38" x14ac:dyDescent="0.2">
      <c r="B39" s="54" t="s">
        <v>76</v>
      </c>
      <c r="C39">
        <v>301</v>
      </c>
      <c r="D39">
        <v>302</v>
      </c>
      <c r="E39">
        <v>301</v>
      </c>
      <c r="F39">
        <v>301</v>
      </c>
      <c r="G39">
        <v>305</v>
      </c>
      <c r="H39">
        <v>305</v>
      </c>
      <c r="I39">
        <v>305</v>
      </c>
      <c r="O39" s="54" t="s">
        <v>76</v>
      </c>
      <c r="P39" s="50">
        <v>1145</v>
      </c>
      <c r="Q39" s="50">
        <v>1198</v>
      </c>
      <c r="R39" s="50">
        <v>1221</v>
      </c>
      <c r="S39" s="50">
        <v>1221</v>
      </c>
      <c r="T39" s="50">
        <v>1247</v>
      </c>
      <c r="U39" s="50">
        <v>1247</v>
      </c>
      <c r="V39" s="50">
        <v>1247</v>
      </c>
      <c r="AB39" s="54" t="s">
        <v>76</v>
      </c>
      <c r="AC39" s="50">
        <v>102</v>
      </c>
      <c r="AD39" s="50">
        <v>102</v>
      </c>
      <c r="AE39" s="50">
        <v>101</v>
      </c>
      <c r="AF39" s="50">
        <v>100</v>
      </c>
      <c r="AG39" s="50">
        <v>100</v>
      </c>
      <c r="AH39" s="50">
        <v>101</v>
      </c>
      <c r="AI39" s="50">
        <v>102</v>
      </c>
    </row>
    <row r="40" spans="2:38" ht="15.5" customHeight="1" x14ac:dyDescent="0.2">
      <c r="B40" s="54" t="s">
        <v>77</v>
      </c>
      <c r="C40" s="101">
        <v>16.212973688565281</v>
      </c>
      <c r="D40" s="101">
        <v>32.570743008439507</v>
      </c>
      <c r="E40" s="101">
        <v>86.620883667052794</v>
      </c>
      <c r="F40" s="101">
        <v>17.123117656792989</v>
      </c>
      <c r="G40" s="101">
        <v>36.69188305050092</v>
      </c>
      <c r="H40" s="101">
        <v>14.27519934573707</v>
      </c>
      <c r="I40" s="101">
        <v>104.30586792067059</v>
      </c>
      <c r="J40" s="101"/>
      <c r="O40" s="54" t="s">
        <v>77</v>
      </c>
      <c r="P40" s="104">
        <f t="shared" ref="P40:V40" si="52">P32</f>
        <v>1.04186455272572</v>
      </c>
      <c r="Q40" s="104">
        <f t="shared" si="52"/>
        <v>6.8442741456973408</v>
      </c>
      <c r="R40" s="104">
        <f t="shared" si="52"/>
        <v>34.184328174895633</v>
      </c>
      <c r="S40" s="104">
        <f t="shared" si="52"/>
        <v>6.6074949883402452</v>
      </c>
      <c r="T40" s="104">
        <f t="shared" si="52"/>
        <v>-3.9328794008090799</v>
      </c>
      <c r="U40" s="104">
        <f t="shared" si="52"/>
        <v>2.5423799415227979</v>
      </c>
      <c r="V40" s="104">
        <f t="shared" si="52"/>
        <v>8.7201666199383183</v>
      </c>
      <c r="AB40" s="54" t="s">
        <v>77</v>
      </c>
      <c r="AC40" s="104">
        <f t="shared" ref="AC40:AI40" si="53">AC32</f>
        <v>-3.9186274509803649</v>
      </c>
      <c r="AD40" s="104">
        <f t="shared" si="53"/>
        <v>41.833725490196073</v>
      </c>
      <c r="AE40" s="104">
        <f t="shared" si="53"/>
        <v>66.326438584452475</v>
      </c>
      <c r="AF40" s="104">
        <f t="shared" si="53"/>
        <v>38.957847269875458</v>
      </c>
      <c r="AG40" s="104">
        <f t="shared" si="53"/>
        <v>58.262131163611457</v>
      </c>
      <c r="AH40" s="104">
        <f t="shared" si="53"/>
        <v>27.896088618762871</v>
      </c>
      <c r="AI40" s="104">
        <f t="shared" si="53"/>
        <v>32.946475835702273</v>
      </c>
    </row>
    <row r="41" spans="2:38" x14ac:dyDescent="0.2">
      <c r="B41" s="51" t="s">
        <v>78</v>
      </c>
      <c r="D41" s="49">
        <f t="shared" ref="D41:I41" si="54">D40/C40-1</f>
        <v>1.0089308497065574</v>
      </c>
      <c r="E41" s="49">
        <f t="shared" si="54"/>
        <v>1.6594690715102258</v>
      </c>
      <c r="F41" s="49">
        <f t="shared" si="54"/>
        <v>-0.80232113859967513</v>
      </c>
      <c r="G41" s="49">
        <f t="shared" si="54"/>
        <v>1.1428272459451749</v>
      </c>
      <c r="H41" s="49">
        <f t="shared" si="54"/>
        <v>-0.61094394293993082</v>
      </c>
      <c r="I41" s="49">
        <f t="shared" si="54"/>
        <v>6.3067888857060987</v>
      </c>
      <c r="J41" s="49"/>
      <c r="O41" s="51" t="s">
        <v>78</v>
      </c>
      <c r="Q41" s="49">
        <f t="shared" ref="Q41:V41" si="55">Q40/P40-1</f>
        <v>5.5692552144051648</v>
      </c>
      <c r="R41" s="49">
        <f t="shared" si="55"/>
        <v>3.9945878039361764</v>
      </c>
      <c r="S41" s="49">
        <f t="shared" si="55"/>
        <v>-0.8067098187644749</v>
      </c>
      <c r="T41" s="49">
        <f t="shared" si="55"/>
        <v>-1.5952148897198015</v>
      </c>
      <c r="U41" s="49">
        <f t="shared" si="55"/>
        <v>-1.6464423854440526</v>
      </c>
      <c r="V41" s="49">
        <f t="shared" si="55"/>
        <v>2.4299226789506685</v>
      </c>
      <c r="AB41" s="51" t="s">
        <v>78</v>
      </c>
      <c r="AD41" s="49">
        <f t="shared" ref="AD41:AI41" si="56">AD40/AC40-1</f>
        <v>-11.675606705028844</v>
      </c>
      <c r="AE41" s="49">
        <f t="shared" si="56"/>
        <v>0.58547769311141984</v>
      </c>
      <c r="AF41" s="49">
        <f t="shared" si="56"/>
        <v>-0.41263471850262234</v>
      </c>
      <c r="AG41" s="49">
        <f t="shared" si="56"/>
        <v>0.49551721274556226</v>
      </c>
      <c r="AH41" s="49">
        <f t="shared" si="56"/>
        <v>-0.52119690677937613</v>
      </c>
      <c r="AI41" s="49">
        <f t="shared" si="56"/>
        <v>0.18104284388968139</v>
      </c>
    </row>
    <row r="42" spans="2:38" x14ac:dyDescent="0.2">
      <c r="B42" s="51"/>
      <c r="O42" s="51"/>
      <c r="AB42" s="51"/>
    </row>
    <row r="43" spans="2:38" x14ac:dyDescent="0.2">
      <c r="B43" s="51" t="s">
        <v>79</v>
      </c>
      <c r="C43" s="104">
        <f t="shared" ref="C43:I43" si="57">C40*C44</f>
        <v>2.4319460532847921</v>
      </c>
      <c r="D43" s="104">
        <f t="shared" si="57"/>
        <v>8.1426857521098768</v>
      </c>
      <c r="E43" s="142">
        <f t="shared" si="57"/>
        <v>21.655220916763199</v>
      </c>
      <c r="F43" s="104">
        <f t="shared" si="57"/>
        <v>4.2807794141982471</v>
      </c>
      <c r="G43" s="104">
        <f t="shared" si="57"/>
        <v>9.1729707626252299</v>
      </c>
      <c r="H43" s="104">
        <f t="shared" si="57"/>
        <v>3.4260478429768968</v>
      </c>
      <c r="I43" s="104">
        <f t="shared" si="57"/>
        <v>10.430586792067061</v>
      </c>
      <c r="O43" s="51" t="s">
        <v>79</v>
      </c>
      <c r="P43" s="106">
        <f t="shared" ref="P43:V43" si="58">P40*P44</f>
        <v>0.7709797690170328</v>
      </c>
      <c r="Q43" s="106">
        <f t="shared" si="58"/>
        <v>2.7377096582789364</v>
      </c>
      <c r="R43" s="106">
        <f t="shared" si="58"/>
        <v>5.4694925079833014</v>
      </c>
      <c r="S43" s="106">
        <f t="shared" si="58"/>
        <v>3.3037474941701226</v>
      </c>
      <c r="T43" s="106">
        <f t="shared" si="58"/>
        <v>3.9722081948171706</v>
      </c>
      <c r="U43" s="106">
        <f t="shared" si="58"/>
        <v>3.3305177233948653</v>
      </c>
      <c r="V43" s="106">
        <f t="shared" si="58"/>
        <v>4.0112766451716269</v>
      </c>
      <c r="AB43" s="51" t="s">
        <v>79</v>
      </c>
      <c r="AC43" s="106">
        <f t="shared" ref="AC43:AI43" si="59">AC40*AC44</f>
        <v>0</v>
      </c>
      <c r="AD43" s="106">
        <f t="shared" si="59"/>
        <v>0</v>
      </c>
      <c r="AE43" s="106">
        <f t="shared" si="59"/>
        <v>3.316321929222624</v>
      </c>
      <c r="AF43" s="106">
        <f t="shared" si="59"/>
        <v>2.3374708361925274</v>
      </c>
      <c r="AG43" s="106">
        <f t="shared" si="59"/>
        <v>1.7478639349083436</v>
      </c>
      <c r="AH43" s="106">
        <f t="shared" si="59"/>
        <v>1.9527262033134012</v>
      </c>
      <c r="AI43" s="106">
        <f t="shared" si="59"/>
        <v>1.9767885501421363</v>
      </c>
    </row>
    <row r="44" spans="2:38" ht="15.5" customHeight="1" x14ac:dyDescent="0.2">
      <c r="B44" s="51" t="s">
        <v>80</v>
      </c>
      <c r="C44" s="67">
        <v>0.15</v>
      </c>
      <c r="D44" s="67">
        <v>0.25</v>
      </c>
      <c r="E44" s="67">
        <v>0.25</v>
      </c>
      <c r="F44" s="67">
        <v>0.25</v>
      </c>
      <c r="G44" s="67">
        <v>0.25</v>
      </c>
      <c r="H44" s="67">
        <v>0.24</v>
      </c>
      <c r="I44" s="67">
        <v>0.1</v>
      </c>
      <c r="J44" s="73"/>
      <c r="O44" s="51" t="s">
        <v>80</v>
      </c>
      <c r="P44" s="52">
        <v>0.74</v>
      </c>
      <c r="Q44" s="52">
        <v>0.4</v>
      </c>
      <c r="R44" s="52">
        <v>0.16</v>
      </c>
      <c r="S44" s="52">
        <v>0.5</v>
      </c>
      <c r="T44" s="52">
        <v>-1.01</v>
      </c>
      <c r="U44" s="52">
        <v>1.31</v>
      </c>
      <c r="V44" s="52">
        <v>0.46</v>
      </c>
      <c r="AB44" s="51" t="s">
        <v>80</v>
      </c>
      <c r="AC44" s="52">
        <v>0</v>
      </c>
      <c r="AD44" s="52">
        <v>0</v>
      </c>
      <c r="AE44" s="52">
        <v>0.05</v>
      </c>
      <c r="AF44" s="52">
        <v>0.06</v>
      </c>
      <c r="AG44" s="52">
        <v>0.03</v>
      </c>
      <c r="AH44" s="52">
        <v>7.0000000000000007E-2</v>
      </c>
      <c r="AI44" s="52">
        <v>0.06</v>
      </c>
    </row>
    <row r="45" spans="2:38" x14ac:dyDescent="0.2">
      <c r="B45" s="51"/>
      <c r="O45" s="51"/>
      <c r="AB45" s="51"/>
    </row>
    <row r="46" spans="2:38" x14ac:dyDescent="0.2">
      <c r="B46" s="51" t="s">
        <v>81</v>
      </c>
      <c r="C46" s="49">
        <f t="shared" ref="C46:I46" si="60">1-C44</f>
        <v>0.85</v>
      </c>
      <c r="D46" s="49">
        <f t="shared" si="60"/>
        <v>0.75</v>
      </c>
      <c r="E46" s="49">
        <f t="shared" si="60"/>
        <v>0.75</v>
      </c>
      <c r="F46" s="49">
        <f t="shared" si="60"/>
        <v>0.75</v>
      </c>
      <c r="G46" s="49">
        <f t="shared" si="60"/>
        <v>0.75</v>
      </c>
      <c r="H46" s="119">
        <f t="shared" si="60"/>
        <v>0.76</v>
      </c>
      <c r="I46" s="119">
        <f t="shared" si="60"/>
        <v>0.9</v>
      </c>
      <c r="O46" s="51" t="s">
        <v>81</v>
      </c>
      <c r="P46" s="49">
        <f t="shared" ref="P46:V46" si="61">1-P44</f>
        <v>0.26</v>
      </c>
      <c r="Q46" s="49">
        <f t="shared" si="61"/>
        <v>0.6</v>
      </c>
      <c r="R46" s="49">
        <f t="shared" si="61"/>
        <v>0.84</v>
      </c>
      <c r="S46" s="49">
        <f t="shared" si="61"/>
        <v>0.5</v>
      </c>
      <c r="T46" s="49">
        <f t="shared" si="61"/>
        <v>2.0099999999999998</v>
      </c>
      <c r="U46" s="49">
        <f t="shared" si="61"/>
        <v>-0.31000000000000005</v>
      </c>
      <c r="V46" s="49">
        <f t="shared" si="61"/>
        <v>0.54</v>
      </c>
      <c r="AB46" s="51" t="s">
        <v>81</v>
      </c>
      <c r="AC46" s="49">
        <f t="shared" ref="AC46:AI46" si="62">1-AC44</f>
        <v>1</v>
      </c>
      <c r="AD46" s="49">
        <f t="shared" si="62"/>
        <v>1</v>
      </c>
      <c r="AE46" s="49">
        <f t="shared" si="62"/>
        <v>0.95</v>
      </c>
      <c r="AF46" s="49">
        <f t="shared" si="62"/>
        <v>0.94</v>
      </c>
      <c r="AG46" s="49">
        <f t="shared" si="62"/>
        <v>0.97</v>
      </c>
      <c r="AH46" s="49">
        <f t="shared" si="62"/>
        <v>0.92999999999999994</v>
      </c>
      <c r="AI46" s="49">
        <f t="shared" si="62"/>
        <v>0.94</v>
      </c>
    </row>
    <row r="47" spans="2:38" x14ac:dyDescent="0.2">
      <c r="B47" s="51" t="s">
        <v>82</v>
      </c>
      <c r="C47" s="105">
        <f t="shared" ref="C47:I47" si="63">C29*C46</f>
        <v>3331.15</v>
      </c>
      <c r="D47" s="105">
        <f t="shared" si="63"/>
        <v>5904.75</v>
      </c>
      <c r="E47" s="105">
        <f t="shared" si="63"/>
        <v>15703.5</v>
      </c>
      <c r="F47" s="105">
        <f t="shared" si="63"/>
        <v>3104.25</v>
      </c>
      <c r="G47" s="105">
        <f t="shared" si="63"/>
        <v>6729.75</v>
      </c>
      <c r="H47" s="105">
        <f t="shared" si="63"/>
        <v>2653.16</v>
      </c>
      <c r="I47" s="105">
        <f t="shared" si="63"/>
        <v>22957.200000000001</v>
      </c>
      <c r="J47" s="105"/>
      <c r="O47" s="51" t="s">
        <v>82</v>
      </c>
      <c r="P47" s="105">
        <f t="shared" ref="P47:V47" si="64">P29*P46</f>
        <v>305.14899999999943</v>
      </c>
      <c r="Q47">
        <f t="shared" si="64"/>
        <v>4913.8739999999971</v>
      </c>
      <c r="R47">
        <f t="shared" si="64"/>
        <v>35069.428800000002</v>
      </c>
      <c r="S47">
        <f t="shared" si="64"/>
        <v>4037.6750000000011</v>
      </c>
      <c r="T47">
        <f t="shared" si="64"/>
        <v>-9868.3160999999709</v>
      </c>
      <c r="U47">
        <f t="shared" si="64"/>
        <v>-983.87180000000433</v>
      </c>
      <c r="V47">
        <f t="shared" si="64"/>
        <v>5878.3428000000004</v>
      </c>
      <c r="AB47" s="51" t="s">
        <v>82</v>
      </c>
      <c r="AC47" s="105">
        <f t="shared" ref="AC47:AI47" si="65">AC29*AC46</f>
        <v>-399.69999999999726</v>
      </c>
      <c r="AD47">
        <f t="shared" si="65"/>
        <v>4267.0400000000009</v>
      </c>
      <c r="AE47">
        <f t="shared" si="65"/>
        <v>6427.6619999999975</v>
      </c>
      <c r="AF47">
        <f t="shared" si="65"/>
        <v>3735.6445999999946</v>
      </c>
      <c r="AG47">
        <f t="shared" si="65"/>
        <v>5765.020400000004</v>
      </c>
      <c r="AH47">
        <f t="shared" si="65"/>
        <v>2646.4824000000008</v>
      </c>
      <c r="AI47">
        <f t="shared" si="65"/>
        <v>3159.2177999999894</v>
      </c>
    </row>
    <row r="48" spans="2:38" ht="16" x14ac:dyDescent="0.2">
      <c r="B48" s="3" t="s">
        <v>49</v>
      </c>
      <c r="D48" s="49">
        <f t="shared" ref="D48:I48" si="66">D47/C47-1</f>
        <v>0.77258604385872731</v>
      </c>
      <c r="E48" s="49">
        <f t="shared" si="66"/>
        <v>1.6594690715102249</v>
      </c>
      <c r="F48" s="49">
        <f t="shared" si="66"/>
        <v>-0.80232113859967524</v>
      </c>
      <c r="G48" s="49">
        <f t="shared" si="66"/>
        <v>1.1679149553032135</v>
      </c>
      <c r="H48" s="119">
        <f t="shared" si="66"/>
        <v>-0.60575652884579667</v>
      </c>
      <c r="I48" s="119">
        <f t="shared" si="66"/>
        <v>7.652776312020384</v>
      </c>
      <c r="O48" s="105"/>
    </row>
    <row r="52" spans="29:35" x14ac:dyDescent="0.2">
      <c r="AC52" s="50"/>
      <c r="AD52" s="50"/>
      <c r="AE52" s="50"/>
      <c r="AF52" s="50"/>
      <c r="AG52" s="50"/>
      <c r="AH52" s="50"/>
      <c r="AI52" s="50"/>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56"/>
  <sheetViews>
    <sheetView workbookViewId="0">
      <selection activeCell="K18" sqref="K18"/>
    </sheetView>
  </sheetViews>
  <sheetFormatPr baseColWidth="10" defaultColWidth="8.83203125" defaultRowHeight="15" x14ac:dyDescent="0.2"/>
  <cols>
    <col min="1" max="1" width="2.83203125" customWidth="1"/>
    <col min="2" max="2" width="24.1640625" bestFit="1" customWidth="1"/>
    <col min="3" max="9" width="9.83203125" bestFit="1" customWidth="1"/>
  </cols>
  <sheetData>
    <row r="1" spans="2:11" x14ac:dyDescent="0.2">
      <c r="B1" t="s">
        <v>0</v>
      </c>
    </row>
    <row r="2" spans="2:11" ht="15.5" customHeight="1" x14ac:dyDescent="0.2">
      <c r="B2" s="18" t="s">
        <v>43</v>
      </c>
      <c r="C2" s="74">
        <v>43921</v>
      </c>
      <c r="D2" s="74">
        <v>44286</v>
      </c>
      <c r="E2" s="74">
        <v>44651</v>
      </c>
      <c r="F2" s="74">
        <v>45016</v>
      </c>
      <c r="G2" s="74">
        <v>45382</v>
      </c>
      <c r="H2" s="74">
        <v>45747</v>
      </c>
      <c r="I2" s="74">
        <v>46112</v>
      </c>
      <c r="J2" s="46"/>
    </row>
    <row r="3" spans="2:11" ht="15.5" customHeight="1" x14ac:dyDescent="0.2">
      <c r="B3" s="19" t="s">
        <v>83</v>
      </c>
      <c r="C3" s="20">
        <v>301</v>
      </c>
      <c r="D3" s="20">
        <v>302</v>
      </c>
      <c r="E3" s="20">
        <v>301</v>
      </c>
      <c r="F3" s="20">
        <v>301</v>
      </c>
      <c r="G3" s="20">
        <v>305</v>
      </c>
      <c r="H3" s="20">
        <v>305</v>
      </c>
      <c r="I3" s="20">
        <v>305</v>
      </c>
      <c r="J3" s="32"/>
    </row>
    <row r="4" spans="2:11" ht="15.5" customHeight="1" x14ac:dyDescent="0.2">
      <c r="B4" s="21" t="s">
        <v>84</v>
      </c>
      <c r="C4" s="22">
        <v>36298</v>
      </c>
      <c r="D4" s="128">
        <v>45308</v>
      </c>
      <c r="E4" s="128">
        <v>66996</v>
      </c>
      <c r="F4" s="22">
        <v>65394</v>
      </c>
      <c r="G4" s="22">
        <v>77364</v>
      </c>
      <c r="H4" s="127">
        <v>79191</v>
      </c>
      <c r="I4" s="127">
        <v>99748</v>
      </c>
      <c r="J4" s="32"/>
    </row>
    <row r="5" spans="2:11" ht="15.5" customHeight="1" x14ac:dyDescent="0.2">
      <c r="B5" s="21" t="s">
        <v>85</v>
      </c>
      <c r="C5" s="22">
        <v>61423</v>
      </c>
      <c r="D5" s="22">
        <v>66727</v>
      </c>
      <c r="E5" s="22">
        <v>72237</v>
      </c>
      <c r="F5" s="22">
        <v>80853</v>
      </c>
      <c r="G5" s="22">
        <v>87984</v>
      </c>
      <c r="H5" s="22">
        <v>98752</v>
      </c>
      <c r="I5" s="22">
        <v>99310</v>
      </c>
      <c r="J5" s="32"/>
      <c r="K5" s="75"/>
    </row>
    <row r="6" spans="2:11" ht="15.5" customHeight="1" x14ac:dyDescent="0.2">
      <c r="B6" s="23" t="s">
        <v>86</v>
      </c>
      <c r="C6" s="24">
        <v>33798</v>
      </c>
      <c r="D6" s="129">
        <v>34826</v>
      </c>
      <c r="E6" s="129">
        <v>56951</v>
      </c>
      <c r="F6" s="24">
        <v>63991</v>
      </c>
      <c r="G6" s="24">
        <v>62245</v>
      </c>
      <c r="H6" s="24">
        <v>62197</v>
      </c>
      <c r="I6" s="24">
        <v>70295</v>
      </c>
      <c r="J6" s="32"/>
      <c r="K6" t="s">
        <v>127</v>
      </c>
    </row>
    <row r="7" spans="2:11" ht="15.5" customHeight="1" x14ac:dyDescent="0.2">
      <c r="B7" s="25" t="s">
        <v>87</v>
      </c>
      <c r="C7" s="26">
        <v>131820</v>
      </c>
      <c r="D7" s="26">
        <v>147163</v>
      </c>
      <c r="E7" s="26">
        <v>196485</v>
      </c>
      <c r="F7" s="26">
        <v>210539</v>
      </c>
      <c r="G7" s="26">
        <v>227898</v>
      </c>
      <c r="H7" s="26">
        <v>240445</v>
      </c>
      <c r="I7" s="26">
        <v>269658</v>
      </c>
      <c r="J7" s="32"/>
    </row>
    <row r="8" spans="2:11" ht="15.5" customHeight="1" x14ac:dyDescent="0.2">
      <c r="B8" s="27"/>
      <c r="C8" s="28"/>
      <c r="D8" s="28"/>
      <c r="E8" s="28"/>
      <c r="F8" s="28"/>
      <c r="G8" s="28"/>
      <c r="H8" s="28"/>
      <c r="I8" s="28"/>
      <c r="J8" s="32"/>
    </row>
    <row r="9" spans="2:11" ht="15.5" customHeight="1" x14ac:dyDescent="0.2">
      <c r="B9" s="21" t="s">
        <v>88</v>
      </c>
      <c r="C9" s="22">
        <v>62085</v>
      </c>
      <c r="D9" s="22">
        <v>64917</v>
      </c>
      <c r="E9" s="22">
        <v>99880</v>
      </c>
      <c r="F9" s="22">
        <v>104452</v>
      </c>
      <c r="G9" s="22">
        <v>112461</v>
      </c>
      <c r="H9" s="22">
        <v>124466</v>
      </c>
      <c r="I9" s="22">
        <v>117129</v>
      </c>
      <c r="J9" s="32"/>
    </row>
    <row r="10" spans="2:11" ht="15.5" customHeight="1" x14ac:dyDescent="0.2">
      <c r="B10" s="21" t="s">
        <v>89</v>
      </c>
      <c r="C10" s="22">
        <v>27191</v>
      </c>
      <c r="D10" s="22">
        <v>32566</v>
      </c>
      <c r="E10" s="22">
        <v>16905</v>
      </c>
      <c r="F10" s="22">
        <v>22166</v>
      </c>
      <c r="G10" s="22">
        <v>29676</v>
      </c>
      <c r="H10" s="22">
        <v>21007</v>
      </c>
      <c r="I10" s="22">
        <v>22315</v>
      </c>
      <c r="J10" s="32"/>
    </row>
    <row r="11" spans="2:11" ht="15.5" customHeight="1" x14ac:dyDescent="0.2">
      <c r="B11" s="21" t="s">
        <v>90</v>
      </c>
      <c r="C11" s="22">
        <v>1259</v>
      </c>
      <c r="D11" s="22">
        <v>7427</v>
      </c>
      <c r="E11" s="22">
        <v>4940</v>
      </c>
      <c r="F11" s="22">
        <v>4806</v>
      </c>
      <c r="G11" s="22">
        <v>7246</v>
      </c>
      <c r="H11" s="130">
        <v>15217</v>
      </c>
      <c r="I11" s="130">
        <v>10218</v>
      </c>
      <c r="J11" s="32"/>
    </row>
    <row r="12" spans="2:11" ht="15.5" customHeight="1" x14ac:dyDescent="0.2">
      <c r="B12" s="23" t="s">
        <v>91</v>
      </c>
      <c r="C12" s="24">
        <v>41285</v>
      </c>
      <c r="D12" s="24">
        <v>42253</v>
      </c>
      <c r="E12" s="24">
        <v>74760</v>
      </c>
      <c r="F12" s="24">
        <v>79115</v>
      </c>
      <c r="G12" s="24">
        <v>78515</v>
      </c>
      <c r="H12" s="131">
        <v>79755</v>
      </c>
      <c r="I12" s="131">
        <v>119996</v>
      </c>
      <c r="J12" s="32"/>
      <c r="K12" t="s">
        <v>128</v>
      </c>
    </row>
    <row r="13" spans="2:11" ht="15.5" customHeight="1" x14ac:dyDescent="0.2">
      <c r="B13" s="25" t="s">
        <v>92</v>
      </c>
      <c r="C13" s="26">
        <v>131820</v>
      </c>
      <c r="D13" s="26">
        <v>147163</v>
      </c>
      <c r="E13" s="26">
        <v>196485</v>
      </c>
      <c r="F13" s="26">
        <v>210539</v>
      </c>
      <c r="G13" s="26">
        <v>227898</v>
      </c>
      <c r="H13" s="26">
        <v>240445</v>
      </c>
      <c r="I13" s="26">
        <v>269658</v>
      </c>
      <c r="J13" s="41"/>
    </row>
    <row r="14" spans="2:11" ht="15.5" customHeight="1" x14ac:dyDescent="0.2">
      <c r="B14" s="46"/>
      <c r="C14" s="29"/>
      <c r="D14" s="29"/>
      <c r="E14" s="29"/>
      <c r="F14" s="29"/>
      <c r="G14" s="29"/>
      <c r="H14" s="29"/>
      <c r="I14" s="29"/>
      <c r="J14" s="32"/>
    </row>
    <row r="15" spans="2:11" ht="15.5" customHeight="1" x14ac:dyDescent="0.2">
      <c r="B15" s="21" t="s">
        <v>93</v>
      </c>
      <c r="C15" s="30">
        <v>7487</v>
      </c>
      <c r="D15" s="134">
        <v>7427</v>
      </c>
      <c r="E15" s="134">
        <v>17809</v>
      </c>
      <c r="F15" s="30">
        <v>15124</v>
      </c>
      <c r="G15" s="30">
        <v>16270</v>
      </c>
      <c r="H15" s="30">
        <v>17558</v>
      </c>
      <c r="I15" s="30">
        <v>49701</v>
      </c>
      <c r="J15" s="32"/>
      <c r="K15" t="s">
        <v>130</v>
      </c>
    </row>
    <row r="16" spans="2:11" ht="15.5" customHeight="1" x14ac:dyDescent="0.2">
      <c r="B16" s="21" t="s">
        <v>94</v>
      </c>
      <c r="C16" s="30">
        <v>4505</v>
      </c>
      <c r="D16" s="30">
        <v>4486</v>
      </c>
      <c r="E16" s="30">
        <v>7457</v>
      </c>
      <c r="F16" s="30">
        <v>7134</v>
      </c>
      <c r="G16" s="30">
        <v>7548</v>
      </c>
      <c r="H16" s="30">
        <v>8415</v>
      </c>
      <c r="I16" s="30">
        <v>11260</v>
      </c>
      <c r="J16" s="32"/>
      <c r="K16" t="s">
        <v>129</v>
      </c>
    </row>
    <row r="17" spans="2:11" ht="15.5" customHeight="1" x14ac:dyDescent="0.2">
      <c r="B17" s="21" t="s">
        <v>95</v>
      </c>
      <c r="C17" s="30">
        <v>13773</v>
      </c>
      <c r="D17" s="30">
        <v>14249</v>
      </c>
      <c r="E17" s="30">
        <v>33787</v>
      </c>
      <c r="F17" s="30">
        <v>33135</v>
      </c>
      <c r="G17" s="30">
        <v>37815</v>
      </c>
      <c r="H17" s="30">
        <v>34956</v>
      </c>
      <c r="I17" s="30">
        <v>32765</v>
      </c>
      <c r="J17" s="32"/>
    </row>
    <row r="18" spans="2:11" ht="15.5" customHeight="1" x14ac:dyDescent="0.2">
      <c r="B18" s="21" t="s">
        <v>96</v>
      </c>
      <c r="C18" s="30">
        <v>12003</v>
      </c>
      <c r="D18" s="30">
        <v>12813</v>
      </c>
      <c r="E18" s="30">
        <v>17383</v>
      </c>
      <c r="F18" s="30">
        <v>20714</v>
      </c>
      <c r="G18" s="30">
        <v>12348</v>
      </c>
      <c r="H18" s="30">
        <v>13285</v>
      </c>
      <c r="I18" s="132">
        <v>40989</v>
      </c>
      <c r="J18" s="32"/>
      <c r="K18" t="s">
        <v>135</v>
      </c>
    </row>
    <row r="19" spans="2:11" ht="15.5" customHeight="1" x14ac:dyDescent="0.2">
      <c r="B19" s="46"/>
      <c r="C19" s="29"/>
      <c r="D19" s="29"/>
      <c r="E19" s="29"/>
      <c r="F19" s="29"/>
      <c r="G19" s="29"/>
      <c r="H19" s="29"/>
      <c r="I19" s="29"/>
      <c r="J19" s="32"/>
    </row>
    <row r="20" spans="2:11" ht="15.5" customHeight="1" x14ac:dyDescent="0.2">
      <c r="B20" s="46" t="s">
        <v>46</v>
      </c>
      <c r="H20" s="33"/>
      <c r="I20" s="33"/>
      <c r="J20" s="33"/>
    </row>
    <row r="21" spans="2:11" ht="15.5" customHeight="1" x14ac:dyDescent="0.2">
      <c r="B21" s="18" t="s">
        <v>43</v>
      </c>
      <c r="C21" s="74">
        <v>43921</v>
      </c>
      <c r="D21" s="74">
        <v>44286</v>
      </c>
      <c r="E21" s="74">
        <v>44651</v>
      </c>
      <c r="F21" s="74">
        <v>45016</v>
      </c>
      <c r="G21" s="74">
        <v>45382</v>
      </c>
      <c r="H21" s="74">
        <v>45747</v>
      </c>
      <c r="I21" s="74">
        <v>46112</v>
      </c>
    </row>
    <row r="22" spans="2:11" ht="15.5" customHeight="1" x14ac:dyDescent="0.2">
      <c r="B22" s="19" t="s">
        <v>83</v>
      </c>
      <c r="C22" s="20">
        <v>1144.95</v>
      </c>
      <c r="D22" s="20">
        <v>1197.6099999999999</v>
      </c>
      <c r="E22" s="20">
        <v>1221.21</v>
      </c>
      <c r="F22" s="20">
        <v>1221.24</v>
      </c>
      <c r="G22" s="20">
        <v>1247.44</v>
      </c>
      <c r="H22" s="20">
        <v>1247.44</v>
      </c>
      <c r="I22" s="20">
        <v>1247.44</v>
      </c>
      <c r="J22" s="32"/>
    </row>
    <row r="23" spans="2:11" ht="15.5" customHeight="1" x14ac:dyDescent="0.2">
      <c r="B23" s="21" t="s">
        <v>84</v>
      </c>
      <c r="C23" s="22">
        <v>72431.350000000006</v>
      </c>
      <c r="D23" s="22">
        <v>73041.16</v>
      </c>
      <c r="E23" s="22">
        <v>113221.83</v>
      </c>
      <c r="F23" s="22">
        <v>101860.86</v>
      </c>
      <c r="G23" s="22">
        <v>90788.32</v>
      </c>
      <c r="H23" s="22">
        <v>89922.19</v>
      </c>
      <c r="I23" s="22">
        <v>100920.21</v>
      </c>
      <c r="J23" s="32"/>
    </row>
    <row r="24" spans="2:11" ht="15.5" customHeight="1" x14ac:dyDescent="0.2">
      <c r="B24" s="21" t="s">
        <v>85</v>
      </c>
      <c r="C24" s="22">
        <v>116328.2</v>
      </c>
      <c r="D24" s="22">
        <v>88501.41</v>
      </c>
      <c r="E24" s="22">
        <v>75561.350000000006</v>
      </c>
      <c r="F24" s="22">
        <v>84893.05</v>
      </c>
      <c r="G24" s="22">
        <v>87082.12</v>
      </c>
      <c r="H24" s="22">
        <v>94801.05</v>
      </c>
      <c r="I24" s="22">
        <v>92381.68</v>
      </c>
      <c r="J24" s="32"/>
    </row>
    <row r="25" spans="2:11" ht="15.5" customHeight="1" x14ac:dyDescent="0.2">
      <c r="B25" s="23" t="s">
        <v>86</v>
      </c>
      <c r="C25" s="24">
        <v>59244.62</v>
      </c>
      <c r="D25" s="24">
        <v>81169.009999999995</v>
      </c>
      <c r="E25" s="24">
        <v>92417.279999999999</v>
      </c>
      <c r="F25" s="24">
        <v>97420.63</v>
      </c>
      <c r="G25" s="24">
        <v>90194.54</v>
      </c>
      <c r="H25" s="24">
        <v>89487.9</v>
      </c>
      <c r="I25" s="24">
        <v>101965.29</v>
      </c>
      <c r="J25" s="32"/>
    </row>
    <row r="26" spans="2:11" ht="15.5" customHeight="1" x14ac:dyDescent="0.2">
      <c r="B26" s="25" t="s">
        <v>87</v>
      </c>
      <c r="C26" s="26">
        <v>249149.12</v>
      </c>
      <c r="D26" s="26">
        <v>243909.19</v>
      </c>
      <c r="E26" s="26">
        <v>282421.67</v>
      </c>
      <c r="F26" s="26">
        <v>285395.78000000003</v>
      </c>
      <c r="G26" s="26">
        <v>269312.42</v>
      </c>
      <c r="H26" s="26">
        <v>275458.58</v>
      </c>
      <c r="I26" s="26">
        <v>296514.62</v>
      </c>
      <c r="J26" s="32"/>
    </row>
    <row r="27" spans="2:11" ht="15.5" customHeight="1" x14ac:dyDescent="0.2">
      <c r="B27" s="27"/>
      <c r="C27" s="28"/>
      <c r="D27" s="28"/>
      <c r="E27" s="28"/>
      <c r="F27" s="28"/>
      <c r="G27" s="28"/>
      <c r="H27" s="28"/>
      <c r="I27" s="28"/>
      <c r="J27" s="32"/>
    </row>
    <row r="28" spans="2:11" ht="15.5" customHeight="1" x14ac:dyDescent="0.2">
      <c r="B28" s="21" t="s">
        <v>88</v>
      </c>
      <c r="C28" s="22">
        <v>134550.66</v>
      </c>
      <c r="D28" s="22">
        <v>135775.18</v>
      </c>
      <c r="E28" s="22">
        <v>133287.82999999999</v>
      </c>
      <c r="F28" s="22">
        <v>146621.46</v>
      </c>
      <c r="G28" s="22">
        <v>148814.38</v>
      </c>
      <c r="H28" s="22">
        <v>150914.06</v>
      </c>
      <c r="I28" s="22">
        <v>179908.13</v>
      </c>
      <c r="J28" s="32"/>
    </row>
    <row r="29" spans="2:11" ht="15.5" customHeight="1" x14ac:dyDescent="0.2">
      <c r="B29" s="21" t="s">
        <v>89</v>
      </c>
      <c r="C29" s="22">
        <v>19496.830000000002</v>
      </c>
      <c r="D29" s="22">
        <v>19007.400000000001</v>
      </c>
      <c r="E29" s="22">
        <v>22045.55</v>
      </c>
      <c r="F29" s="22">
        <v>31213.02</v>
      </c>
      <c r="G29" s="22">
        <v>34355.53</v>
      </c>
      <c r="H29" s="22">
        <v>41622.35</v>
      </c>
      <c r="I29" s="22">
        <v>28496.71</v>
      </c>
      <c r="J29" s="32"/>
    </row>
    <row r="30" spans="2:11" ht="15.5" customHeight="1" x14ac:dyDescent="0.2">
      <c r="B30" s="21" t="s">
        <v>90</v>
      </c>
      <c r="C30" s="22">
        <v>6285.18</v>
      </c>
      <c r="D30" s="22">
        <v>10681.93</v>
      </c>
      <c r="E30" s="22">
        <v>13139.85</v>
      </c>
      <c r="F30" s="22">
        <v>8410.31</v>
      </c>
      <c r="G30" s="22">
        <v>6257.57</v>
      </c>
      <c r="H30" s="22">
        <v>6194.11</v>
      </c>
      <c r="I30" s="22">
        <v>7088.85</v>
      </c>
      <c r="J30" s="32"/>
    </row>
    <row r="31" spans="2:11" ht="15.5" customHeight="1" x14ac:dyDescent="0.2">
      <c r="B31" s="23" t="s">
        <v>91</v>
      </c>
      <c r="C31" s="24">
        <v>88816.45</v>
      </c>
      <c r="D31" s="24">
        <v>78444.679999999993</v>
      </c>
      <c r="E31" s="24">
        <v>113948.44</v>
      </c>
      <c r="F31" s="24">
        <v>99150.99</v>
      </c>
      <c r="G31" s="24">
        <v>79884.94</v>
      </c>
      <c r="H31" s="24">
        <v>76728.06</v>
      </c>
      <c r="I31" s="24">
        <v>81020.929999999993</v>
      </c>
      <c r="J31" s="32"/>
    </row>
    <row r="32" spans="2:11" ht="15.5" customHeight="1" x14ac:dyDescent="0.2">
      <c r="B32" s="25" t="s">
        <v>92</v>
      </c>
      <c r="C32" s="26">
        <v>249149.12</v>
      </c>
      <c r="D32" s="26">
        <v>243909.19</v>
      </c>
      <c r="E32" s="26">
        <v>282421.67</v>
      </c>
      <c r="F32" s="26">
        <v>285395.78000000003</v>
      </c>
      <c r="G32" s="26">
        <v>269312.42</v>
      </c>
      <c r="H32" s="26">
        <v>275458.58</v>
      </c>
      <c r="I32" s="26">
        <v>296514.62</v>
      </c>
      <c r="J32" s="41"/>
    </row>
    <row r="33" spans="2:10" ht="15.5" customHeight="1" x14ac:dyDescent="0.2">
      <c r="B33" s="46"/>
      <c r="C33" s="29"/>
      <c r="D33" s="29"/>
      <c r="E33" s="29"/>
      <c r="F33" s="29"/>
      <c r="G33" s="29"/>
      <c r="H33" s="29"/>
      <c r="I33" s="29"/>
      <c r="J33" s="32"/>
    </row>
    <row r="34" spans="2:10" ht="15.5" customHeight="1" x14ac:dyDescent="0.2">
      <c r="B34" s="21" t="s">
        <v>93</v>
      </c>
      <c r="C34" s="30">
        <v>29571.829999999991</v>
      </c>
      <c r="D34" s="30">
        <v>-2724.3300000000022</v>
      </c>
      <c r="E34" s="30">
        <v>21531.16</v>
      </c>
      <c r="F34" s="30">
        <v>1730.360000000001</v>
      </c>
      <c r="G34" s="30">
        <v>-10309.599999999989</v>
      </c>
      <c r="H34" s="30">
        <v>-12759.84</v>
      </c>
      <c r="I34" s="30">
        <v>-20944.36</v>
      </c>
      <c r="J34" s="32"/>
    </row>
    <row r="35" spans="2:10" ht="15.5" customHeight="1" x14ac:dyDescent="0.2">
      <c r="B35" s="21" t="s">
        <v>94</v>
      </c>
      <c r="C35" s="30">
        <v>7884.91</v>
      </c>
      <c r="D35" s="30">
        <v>9539.84</v>
      </c>
      <c r="E35" s="30">
        <v>12246.43</v>
      </c>
      <c r="F35" s="30">
        <v>8257.24</v>
      </c>
      <c r="G35" s="30">
        <v>6263.53</v>
      </c>
      <c r="H35" s="30">
        <v>5260.06</v>
      </c>
      <c r="I35" s="30">
        <v>4916.8900000000003</v>
      </c>
      <c r="J35" s="32"/>
    </row>
    <row r="36" spans="2:10" ht="15.5" customHeight="1" x14ac:dyDescent="0.2">
      <c r="B36" s="21" t="s">
        <v>95</v>
      </c>
      <c r="C36" s="30">
        <v>31068.720000000001</v>
      </c>
      <c r="D36" s="30">
        <v>33276.379999999997</v>
      </c>
      <c r="E36" s="30">
        <v>48824.39</v>
      </c>
      <c r="F36" s="30">
        <v>54415.33</v>
      </c>
      <c r="G36" s="30">
        <v>49157.51</v>
      </c>
      <c r="H36" s="30">
        <v>44589.94</v>
      </c>
      <c r="I36" s="30">
        <v>47249.22</v>
      </c>
      <c r="J36" s="32"/>
    </row>
    <row r="37" spans="2:10" ht="15.5" customHeight="1" x14ac:dyDescent="0.2">
      <c r="B37" s="21" t="s">
        <v>96</v>
      </c>
      <c r="C37" s="30">
        <v>8054.72</v>
      </c>
      <c r="D37" s="30">
        <v>5782.18</v>
      </c>
      <c r="E37" s="30">
        <v>15898.93</v>
      </c>
      <c r="F37" s="30">
        <v>13357.26</v>
      </c>
      <c r="G37" s="30">
        <v>8677.7199999999993</v>
      </c>
      <c r="H37" s="30">
        <v>11646.98</v>
      </c>
      <c r="I37" s="30">
        <v>10057.530000000001</v>
      </c>
      <c r="J37" s="32"/>
    </row>
    <row r="39" spans="2:10" ht="15.5" customHeight="1" x14ac:dyDescent="0.2">
      <c r="B39" s="46" t="s">
        <v>47</v>
      </c>
    </row>
    <row r="40" spans="2:10" ht="15.5" customHeight="1" x14ac:dyDescent="0.2">
      <c r="B40" s="18" t="s">
        <v>43</v>
      </c>
      <c r="C40" s="74">
        <v>43921</v>
      </c>
      <c r="D40" s="74">
        <v>44286</v>
      </c>
      <c r="E40" s="74">
        <v>44651</v>
      </c>
      <c r="F40" s="74">
        <v>45016</v>
      </c>
      <c r="G40" s="74">
        <v>45382</v>
      </c>
      <c r="H40" s="74">
        <v>45747</v>
      </c>
      <c r="I40" s="74">
        <v>46112</v>
      </c>
      <c r="J40" s="46"/>
    </row>
    <row r="41" spans="2:10" ht="15.5" customHeight="1" x14ac:dyDescent="0.2">
      <c r="B41" s="19" t="s">
        <v>83</v>
      </c>
      <c r="C41" s="20">
        <v>102</v>
      </c>
      <c r="D41" s="20">
        <v>102</v>
      </c>
      <c r="E41" s="20">
        <v>101.07</v>
      </c>
      <c r="F41" s="20">
        <v>100.5</v>
      </c>
      <c r="G41" s="20">
        <v>100.24</v>
      </c>
      <c r="H41" s="20">
        <v>101.18</v>
      </c>
      <c r="I41" s="20">
        <v>101.75</v>
      </c>
      <c r="J41" s="32"/>
    </row>
    <row r="42" spans="2:10" ht="15.5" customHeight="1" x14ac:dyDescent="0.2">
      <c r="B42" s="21" t="s">
        <v>84</v>
      </c>
      <c r="C42" s="22">
        <v>32035.14</v>
      </c>
      <c r="D42" s="22">
        <v>31712.67</v>
      </c>
      <c r="E42" s="22">
        <v>35523.589999999997</v>
      </c>
      <c r="F42" s="22">
        <v>38606.089999999997</v>
      </c>
      <c r="G42" s="22">
        <v>44215.77</v>
      </c>
      <c r="H42" s="22">
        <v>47083.7</v>
      </c>
      <c r="I42" s="22">
        <v>50797.16</v>
      </c>
      <c r="J42" s="32"/>
    </row>
    <row r="43" spans="2:10" ht="15.5" customHeight="1" x14ac:dyDescent="0.2">
      <c r="B43" s="21" t="s">
        <v>85</v>
      </c>
      <c r="C43" s="22">
        <v>36824.370000000003</v>
      </c>
      <c r="D43" s="22">
        <v>29909.69</v>
      </c>
      <c r="E43" s="22">
        <v>13501.64</v>
      </c>
      <c r="F43" s="22">
        <v>13046.31</v>
      </c>
      <c r="G43" s="22">
        <v>16472.14</v>
      </c>
      <c r="H43" s="22">
        <v>18406.080000000002</v>
      </c>
      <c r="I43" s="22">
        <v>22609.55</v>
      </c>
      <c r="J43" s="32"/>
    </row>
    <row r="44" spans="2:10" ht="15.5" customHeight="1" x14ac:dyDescent="0.2">
      <c r="B44" s="23" t="s">
        <v>86</v>
      </c>
      <c r="C44" s="24">
        <v>20780.439999999999</v>
      </c>
      <c r="D44" s="24">
        <v>16116.07</v>
      </c>
      <c r="E44" s="24">
        <v>27517.24</v>
      </c>
      <c r="F44" s="24">
        <v>17674.330000000002</v>
      </c>
      <c r="G44" s="24">
        <v>17887.88</v>
      </c>
      <c r="H44" s="24">
        <v>20174.68</v>
      </c>
      <c r="I44" s="24">
        <v>24126.48</v>
      </c>
      <c r="J44" s="32"/>
    </row>
    <row r="45" spans="2:10" ht="15.5" customHeight="1" x14ac:dyDescent="0.2">
      <c r="B45" s="25" t="s">
        <v>87</v>
      </c>
      <c r="C45" s="26">
        <v>89741.95</v>
      </c>
      <c r="D45" s="26">
        <v>77840.429999999993</v>
      </c>
      <c r="E45" s="26">
        <v>76643.539999999994</v>
      </c>
      <c r="F45" s="26">
        <v>69427.23</v>
      </c>
      <c r="G45" s="26">
        <v>78676.03</v>
      </c>
      <c r="H45" s="26">
        <v>85765.64</v>
      </c>
      <c r="I45" s="26">
        <v>97634.94</v>
      </c>
      <c r="J45" s="32"/>
    </row>
    <row r="46" spans="2:10" ht="15.5" customHeight="1" x14ac:dyDescent="0.2">
      <c r="B46" s="27"/>
      <c r="C46" s="28"/>
      <c r="D46" s="28"/>
      <c r="E46" s="28"/>
      <c r="F46" s="28"/>
      <c r="G46" s="28"/>
      <c r="H46" s="28"/>
      <c r="I46" s="28"/>
      <c r="J46" s="32"/>
    </row>
    <row r="47" spans="2:10" ht="15.5" customHeight="1" x14ac:dyDescent="0.2">
      <c r="B47" s="21" t="s">
        <v>88</v>
      </c>
      <c r="C47" s="22">
        <v>69381.62</v>
      </c>
      <c r="D47" s="22">
        <v>54349.68</v>
      </c>
      <c r="E47" s="22">
        <v>45487.75</v>
      </c>
      <c r="F47" s="22">
        <v>43542.15</v>
      </c>
      <c r="G47" s="22">
        <v>48383.93</v>
      </c>
      <c r="H47" s="22">
        <v>48988.76</v>
      </c>
      <c r="I47" s="22">
        <v>64102.43</v>
      </c>
      <c r="J47" s="32"/>
    </row>
    <row r="48" spans="2:10" ht="15.5" customHeight="1" x14ac:dyDescent="0.2">
      <c r="B48" s="21" t="s">
        <v>89</v>
      </c>
      <c r="C48" s="22">
        <v>3125.52</v>
      </c>
      <c r="D48" s="22">
        <v>1711.54</v>
      </c>
      <c r="E48" s="22">
        <v>2538.4299999999998</v>
      </c>
      <c r="F48" s="22">
        <v>7869.59</v>
      </c>
      <c r="G48" s="22">
        <v>9611.43</v>
      </c>
      <c r="H48" s="22">
        <v>16724.88</v>
      </c>
      <c r="I48" s="22">
        <v>8371.59</v>
      </c>
      <c r="J48" s="32"/>
    </row>
    <row r="49" spans="2:10" ht="15.5" customHeight="1" x14ac:dyDescent="0.2">
      <c r="B49" s="21" t="s">
        <v>90</v>
      </c>
      <c r="C49" s="22">
        <v>180.59</v>
      </c>
      <c r="D49" s="22">
        <v>1155.54</v>
      </c>
      <c r="E49" s="22">
        <v>469.92</v>
      </c>
      <c r="F49" s="22">
        <v>907.4</v>
      </c>
      <c r="G49" s="22">
        <v>818.81</v>
      </c>
      <c r="H49" s="22">
        <v>2200.87</v>
      </c>
      <c r="I49" s="22">
        <v>3167.59</v>
      </c>
      <c r="J49" s="32"/>
    </row>
    <row r="50" spans="2:10" ht="15.5" customHeight="1" x14ac:dyDescent="0.2">
      <c r="B50" s="23" t="s">
        <v>91</v>
      </c>
      <c r="C50" s="24">
        <v>17054.22</v>
      </c>
      <c r="D50" s="24">
        <v>20623.669999999998</v>
      </c>
      <c r="E50" s="24">
        <v>28147.439999999999</v>
      </c>
      <c r="F50" s="24">
        <v>17108.09</v>
      </c>
      <c r="G50" s="24">
        <v>19861.86</v>
      </c>
      <c r="H50" s="24">
        <v>17851.13</v>
      </c>
      <c r="I50" s="24">
        <v>21993.33</v>
      </c>
      <c r="J50" s="32"/>
    </row>
    <row r="51" spans="2:10" ht="15.5" customHeight="1" x14ac:dyDescent="0.2">
      <c r="B51" s="25" t="s">
        <v>92</v>
      </c>
      <c r="C51" s="26">
        <v>89741.95</v>
      </c>
      <c r="D51" s="26">
        <v>77840.429999999993</v>
      </c>
      <c r="E51" s="26">
        <v>76643.539999999994</v>
      </c>
      <c r="F51" s="26">
        <v>69427.23</v>
      </c>
      <c r="G51" s="26">
        <v>78676.03</v>
      </c>
      <c r="H51" s="26">
        <v>85765.64</v>
      </c>
      <c r="I51" s="26">
        <v>97634.94</v>
      </c>
      <c r="J51" s="41"/>
    </row>
    <row r="52" spans="2:10" ht="15.5" customHeight="1" x14ac:dyDescent="0.2">
      <c r="B52" s="46"/>
      <c r="C52" s="29"/>
      <c r="D52" s="29"/>
      <c r="E52" s="29"/>
      <c r="F52" s="29"/>
      <c r="G52" s="29"/>
      <c r="H52" s="29"/>
      <c r="I52" s="29"/>
      <c r="J52" s="32"/>
    </row>
    <row r="53" spans="2:10" ht="15.5" customHeight="1" x14ac:dyDescent="0.2">
      <c r="B53" s="21" t="s">
        <v>93</v>
      </c>
      <c r="C53" s="30">
        <v>-3726.219999999998</v>
      </c>
      <c r="D53" s="30">
        <v>4507.5999999999995</v>
      </c>
      <c r="E53" s="30">
        <v>630.19999999999709</v>
      </c>
      <c r="F53" s="30">
        <v>-566.2400000000016</v>
      </c>
      <c r="G53" s="30">
        <v>1973.98</v>
      </c>
      <c r="H53" s="30">
        <v>-2323.5499999999988</v>
      </c>
      <c r="I53" s="30">
        <v>-2133.1499999999978</v>
      </c>
      <c r="J53" s="32"/>
    </row>
    <row r="54" spans="2:10" ht="15.5" customHeight="1" x14ac:dyDescent="0.2">
      <c r="B54" s="21" t="s">
        <v>94</v>
      </c>
      <c r="C54" s="30">
        <v>3549.26</v>
      </c>
      <c r="D54" s="30">
        <v>2794.4</v>
      </c>
      <c r="E54" s="30">
        <v>1264.07</v>
      </c>
      <c r="F54" s="30">
        <v>974.47</v>
      </c>
      <c r="G54" s="30">
        <v>1664.54</v>
      </c>
      <c r="H54" s="30">
        <v>1362.89</v>
      </c>
      <c r="I54" s="30">
        <v>1729</v>
      </c>
      <c r="J54" s="32"/>
    </row>
    <row r="55" spans="2:10" ht="15.5" customHeight="1" x14ac:dyDescent="0.2">
      <c r="B55" s="21" t="s">
        <v>95</v>
      </c>
      <c r="C55" s="30">
        <v>6368.71</v>
      </c>
      <c r="D55" s="30">
        <v>5942.57</v>
      </c>
      <c r="E55" s="30">
        <v>7281.36</v>
      </c>
      <c r="F55" s="30">
        <v>5886.78</v>
      </c>
      <c r="G55" s="30">
        <v>7077.37</v>
      </c>
      <c r="H55" s="30">
        <v>5610.22</v>
      </c>
      <c r="I55" s="30">
        <v>8022.77</v>
      </c>
      <c r="J55" s="32"/>
    </row>
    <row r="56" spans="2:10" ht="15.5" customHeight="1" x14ac:dyDescent="0.2">
      <c r="B56" s="21" t="s">
        <v>96</v>
      </c>
      <c r="C56" s="30">
        <v>906.23</v>
      </c>
      <c r="D56" s="30">
        <v>6152.22</v>
      </c>
      <c r="E56" s="30">
        <v>3668.51</v>
      </c>
      <c r="F56" s="30">
        <v>4716.83</v>
      </c>
      <c r="G56" s="30">
        <v>4024.13</v>
      </c>
      <c r="H56" s="30">
        <v>4180.05</v>
      </c>
      <c r="I56" s="30">
        <v>4141.6000000000004</v>
      </c>
      <c r="J56"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48"/>
  <sheetViews>
    <sheetView workbookViewId="0">
      <selection activeCell="E15" sqref="E15"/>
    </sheetView>
  </sheetViews>
  <sheetFormatPr baseColWidth="10" defaultColWidth="8.83203125" defaultRowHeight="15" x14ac:dyDescent="0.2"/>
  <cols>
    <col min="1" max="1" width="2.1640625" customWidth="1"/>
    <col min="2" max="2" width="34.1640625" bestFit="1" customWidth="1"/>
    <col min="3" max="3" width="12.6640625" bestFit="1" customWidth="1"/>
    <col min="4" max="4" width="10.33203125" bestFit="1" customWidth="1"/>
  </cols>
  <sheetData>
    <row r="1" spans="2:10" ht="15.5" customHeight="1" x14ac:dyDescent="0.2">
      <c r="B1" s="18" t="s">
        <v>43</v>
      </c>
      <c r="C1" s="74">
        <v>43921</v>
      </c>
      <c r="D1" s="74">
        <v>44286</v>
      </c>
      <c r="E1" s="74">
        <v>44651</v>
      </c>
      <c r="F1" s="74">
        <v>45016</v>
      </c>
      <c r="G1" s="74">
        <v>45382</v>
      </c>
      <c r="H1" s="74">
        <v>45747</v>
      </c>
      <c r="I1" s="74">
        <v>46112</v>
      </c>
    </row>
    <row r="2" spans="2:10" ht="15.5" customHeight="1" x14ac:dyDescent="0.2">
      <c r="B2" s="27" t="s">
        <v>97</v>
      </c>
      <c r="C2" s="34">
        <v>12785</v>
      </c>
      <c r="D2" s="34">
        <v>18831</v>
      </c>
      <c r="E2" s="34">
        <v>26270</v>
      </c>
      <c r="F2" s="133">
        <v>23323</v>
      </c>
      <c r="G2" s="133">
        <v>12078</v>
      </c>
      <c r="H2" s="34">
        <v>20899</v>
      </c>
      <c r="I2" s="34">
        <v>25152</v>
      </c>
      <c r="J2" t="s">
        <v>132</v>
      </c>
    </row>
    <row r="3" spans="2:10" ht="15.5" customHeight="1" x14ac:dyDescent="0.2">
      <c r="B3" s="35" t="s">
        <v>98</v>
      </c>
      <c r="C3" s="36">
        <v>-0.12628989270826221</v>
      </c>
      <c r="D3" s="36">
        <f t="shared" ref="D3:I3" si="0">D2/C2-1</f>
        <v>0.4728979272585061</v>
      </c>
      <c r="E3" s="36">
        <f t="shared" si="0"/>
        <v>0.39504009346290681</v>
      </c>
      <c r="F3" s="36">
        <f t="shared" si="0"/>
        <v>-0.11218119527978687</v>
      </c>
      <c r="G3" s="36">
        <f t="shared" si="0"/>
        <v>-0.48214209149766329</v>
      </c>
      <c r="H3" s="36">
        <f t="shared" si="0"/>
        <v>0.73033614836893523</v>
      </c>
      <c r="I3" s="36">
        <f t="shared" si="0"/>
        <v>0.20350255993109712</v>
      </c>
    </row>
    <row r="4" spans="2:10" ht="15.5" customHeight="1" x14ac:dyDescent="0.2">
      <c r="B4" s="46" t="s">
        <v>99</v>
      </c>
      <c r="C4" s="37">
        <v>-19589</v>
      </c>
      <c r="D4" s="37">
        <v>-9410</v>
      </c>
      <c r="E4" s="37">
        <v>-14748</v>
      </c>
      <c r="F4" s="37">
        <v>-10730</v>
      </c>
      <c r="G4" s="37">
        <v>-14467</v>
      </c>
      <c r="H4" s="135">
        <v>-17012</v>
      </c>
      <c r="I4" s="135">
        <v>18560</v>
      </c>
      <c r="J4" s="50" t="s">
        <v>131</v>
      </c>
    </row>
    <row r="5" spans="2:10" ht="15.5" customHeight="1" x14ac:dyDescent="0.2">
      <c r="B5" s="46" t="s">
        <v>100</v>
      </c>
      <c r="C5" s="37">
        <v>5189</v>
      </c>
      <c r="D5" s="37">
        <v>-1444</v>
      </c>
      <c r="E5" s="37">
        <v>-14657</v>
      </c>
      <c r="F5" s="37">
        <v>-5977</v>
      </c>
      <c r="G5" s="37">
        <v>-5005</v>
      </c>
      <c r="H5" s="37">
        <v>-262</v>
      </c>
      <c r="I5" s="37">
        <v>-16111</v>
      </c>
    </row>
    <row r="6" spans="2:10" ht="15.5" customHeight="1" x14ac:dyDescent="0.2">
      <c r="B6" s="27" t="s">
        <v>101</v>
      </c>
      <c r="C6" s="34">
        <f t="shared" ref="C6:I6" si="1">C2+C4+C5</f>
        <v>-1615</v>
      </c>
      <c r="D6" s="34">
        <f t="shared" si="1"/>
        <v>7977</v>
      </c>
      <c r="E6" s="34">
        <f t="shared" si="1"/>
        <v>-3135</v>
      </c>
      <c r="F6" s="34">
        <f t="shared" si="1"/>
        <v>6616</v>
      </c>
      <c r="G6" s="34">
        <f t="shared" si="1"/>
        <v>-7394</v>
      </c>
      <c r="H6" s="34">
        <f t="shared" si="1"/>
        <v>3625</v>
      </c>
      <c r="I6" s="34">
        <f t="shared" si="1"/>
        <v>27601</v>
      </c>
    </row>
    <row r="7" spans="2:10" ht="15.5" customHeight="1" x14ac:dyDescent="0.2">
      <c r="B7" s="46" t="s">
        <v>102</v>
      </c>
      <c r="C7" s="76">
        <f>C2/' P&amp;L'!C2</f>
        <v>0.17435834492540164</v>
      </c>
      <c r="D7" s="76">
        <f>D2/' P&amp;L'!D2</f>
        <v>0.23586217262240258</v>
      </c>
      <c r="E7" s="76">
        <f>E2/' P&amp;L'!E2</f>
        <v>0.17947544253984737</v>
      </c>
      <c r="F7" s="76">
        <f>F2/' P&amp;L'!F2</f>
        <v>0.14053386358158593</v>
      </c>
      <c r="G7" s="76">
        <f>G2/' P&amp;L'!G2</f>
        <v>6.9014776636229611E-2</v>
      </c>
      <c r="H7" s="76">
        <f>H2/' P&amp;L'!H2</f>
        <v>0.1237916409989101</v>
      </c>
      <c r="I7" s="76">
        <f>I2/' P&amp;L'!I2</f>
        <v>0.13561222839273199</v>
      </c>
    </row>
    <row r="8" spans="2:10" ht="15.5" customHeight="1" x14ac:dyDescent="0.2">
      <c r="B8" s="46" t="s">
        <v>103</v>
      </c>
      <c r="C8" s="76">
        <f>C2/' P&amp;L'!C29</f>
        <v>3.2623118142383261</v>
      </c>
      <c r="D8" s="76">
        <f>D2/' P&amp;L'!D29</f>
        <v>2.3918455480757017</v>
      </c>
      <c r="E8" s="76">
        <f>E2/' P&amp;L'!E29</f>
        <v>1.2546566052153978</v>
      </c>
      <c r="F8" s="76">
        <f>F2/' P&amp;L'!F29</f>
        <v>5.6349359748731578</v>
      </c>
      <c r="G8" s="76">
        <f>G2/' P&amp;L'!G29</f>
        <v>1.3460381143430291</v>
      </c>
      <c r="H8" s="76">
        <f>H2/' P&amp;L'!H29</f>
        <v>5.9865368089372675</v>
      </c>
      <c r="I8" s="76">
        <f>I2/' P&amp;L'!I29</f>
        <v>0.98604359416653597</v>
      </c>
    </row>
    <row r="9" spans="2:10" ht="15.5" customHeight="1" x14ac:dyDescent="0.2">
      <c r="B9" s="46" t="s">
        <v>104</v>
      </c>
      <c r="C9" s="76">
        <f>C2/' P&amp;L'!C13</f>
        <v>1.082282231439939</v>
      </c>
      <c r="D9" s="76">
        <f>D2/' P&amp;L'!D13</f>
        <v>0.93324412726732087</v>
      </c>
      <c r="E9" s="76">
        <f>E2/' P&amp;L'!E13</f>
        <v>0.67162652758603059</v>
      </c>
      <c r="F9" s="76">
        <f>F2/' P&amp;L'!F13</f>
        <v>1.2627504060638874</v>
      </c>
      <c r="G9" s="76">
        <f>G2/' P&amp;L'!G13</f>
        <v>0.42895194800582448</v>
      </c>
      <c r="H9" s="76">
        <f>H2/' P&amp;L'!H13</f>
        <v>0.9196479647964797</v>
      </c>
      <c r="I9" s="76">
        <f>I2/' P&amp;L'!I13</f>
        <v>0.85365191420038011</v>
      </c>
    </row>
    <row r="10" spans="2:10" ht="15.5" customHeight="1" x14ac:dyDescent="0.2">
      <c r="B10" s="38" t="s">
        <v>105</v>
      </c>
      <c r="C10" s="39">
        <v>12767</v>
      </c>
      <c r="D10" s="39">
        <v>10915</v>
      </c>
      <c r="E10" s="39">
        <v>10048</v>
      </c>
      <c r="F10" s="39">
        <v>14749</v>
      </c>
      <c r="G10" s="39">
        <v>15547</v>
      </c>
      <c r="H10" s="39">
        <v>12635</v>
      </c>
      <c r="I10" s="39">
        <v>14542</v>
      </c>
    </row>
    <row r="11" spans="2:10" ht="15.5" customHeight="1" x14ac:dyDescent="0.2">
      <c r="B11" s="46" t="s">
        <v>136</v>
      </c>
      <c r="C11" s="144">
        <f t="shared" ref="C11:I11" si="2">C2-C10</f>
        <v>18</v>
      </c>
      <c r="D11" s="144">
        <f>D2-D10</f>
        <v>7916</v>
      </c>
      <c r="E11" s="144">
        <f t="shared" si="2"/>
        <v>16222</v>
      </c>
      <c r="F11" s="144">
        <f t="shared" si="2"/>
        <v>8574</v>
      </c>
      <c r="G11" s="144">
        <f t="shared" si="2"/>
        <v>-3469</v>
      </c>
      <c r="H11" s="144">
        <f t="shared" si="2"/>
        <v>8264</v>
      </c>
      <c r="I11" s="144">
        <f t="shared" si="2"/>
        <v>10610</v>
      </c>
    </row>
    <row r="12" spans="2:10" ht="15.5" customHeight="1" x14ac:dyDescent="0.2">
      <c r="B12" s="46" t="s">
        <v>108</v>
      </c>
      <c r="C12" s="76"/>
      <c r="D12" s="76">
        <f t="shared" ref="D12:I12" si="3">D11/C11-1</f>
        <v>438.77777777777777</v>
      </c>
      <c r="E12" s="76">
        <f t="shared" si="3"/>
        <v>1.0492673067205658</v>
      </c>
      <c r="F12" s="76">
        <f t="shared" si="3"/>
        <v>-0.47145851313031684</v>
      </c>
      <c r="G12" s="76">
        <f t="shared" si="3"/>
        <v>-1.4045952880802426</v>
      </c>
      <c r="H12" s="76">
        <f t="shared" si="3"/>
        <v>-3.3822427212453157</v>
      </c>
      <c r="I12" s="76">
        <f t="shared" si="3"/>
        <v>0.28388189738625358</v>
      </c>
    </row>
    <row r="13" spans="2:10" ht="15.5" customHeight="1" x14ac:dyDescent="0.2">
      <c r="B13" s="46" t="s">
        <v>38</v>
      </c>
      <c r="C13" s="76">
        <f>C11/' P&amp;L'!C2</f>
        <v>2.4547909336388184E-4</v>
      </c>
      <c r="D13" s="76">
        <f>D11/' P&amp;L'!D2</f>
        <v>9.9149538446122829E-2</v>
      </c>
      <c r="E13" s="76">
        <f>E11/' P&amp;L'!E2</f>
        <v>0.11082796455582049</v>
      </c>
      <c r="F13" s="76">
        <f>F11/' P&amp;L'!F2</f>
        <v>5.1663051337671725E-2</v>
      </c>
      <c r="G13" s="76">
        <f>G11/' P&amp;L'!G2</f>
        <v>-1.9822177525341989E-2</v>
      </c>
      <c r="H13" s="76">
        <f>H11/' P&amp;L'!H2</f>
        <v>4.8950386201014072E-2</v>
      </c>
      <c r="I13" s="76">
        <f>I11/' P&amp;L'!I2</f>
        <v>5.720601714563002E-2</v>
      </c>
    </row>
    <row r="14" spans="2:10" ht="15.5" customHeight="1" x14ac:dyDescent="0.2">
      <c r="B14" s="46" t="s">
        <v>109</v>
      </c>
      <c r="C14" s="76">
        <f>C11/' P&amp;L'!C29</f>
        <v>4.5930084205154376E-3</v>
      </c>
      <c r="D14" s="76">
        <f>D11/' P&amp;L'!D29</f>
        <v>1.0054617045598881</v>
      </c>
      <c r="E14" s="76">
        <f>E11/' P&amp;L'!E29</f>
        <v>0.77476358773521825</v>
      </c>
      <c r="F14" s="76">
        <f>F11/' P&amp;L'!F29</f>
        <v>2.0715148586615126</v>
      </c>
      <c r="G14" s="76">
        <f>G11/' P&amp;L'!G29</f>
        <v>-0.38660425721609271</v>
      </c>
      <c r="H14" s="76">
        <f>H11/' P&amp;L'!H29</f>
        <v>2.367230020051561</v>
      </c>
      <c r="I14" s="76">
        <f>I11/' P&amp;L'!I29</f>
        <v>0.41594793790183471</v>
      </c>
    </row>
    <row r="15" spans="2:10" ht="259.25" customHeight="1" x14ac:dyDescent="0.2"/>
    <row r="16" spans="2:10" ht="15.5" customHeight="1" x14ac:dyDescent="0.2">
      <c r="B16" s="46" t="s">
        <v>46</v>
      </c>
    </row>
    <row r="17" spans="2:10" ht="15.5" customHeight="1" x14ac:dyDescent="0.2">
      <c r="B17" s="18" t="s">
        <v>43</v>
      </c>
      <c r="C17" s="74">
        <v>43921</v>
      </c>
      <c r="D17" s="74">
        <v>44286</v>
      </c>
      <c r="E17" s="74">
        <v>44651</v>
      </c>
      <c r="F17" s="74">
        <v>45016</v>
      </c>
      <c r="G17" s="74">
        <v>45382</v>
      </c>
      <c r="H17" s="74">
        <v>45747</v>
      </c>
      <c r="I17" s="74">
        <v>46112</v>
      </c>
    </row>
    <row r="18" spans="2:10" ht="15.5" customHeight="1" x14ac:dyDescent="0.2">
      <c r="B18" s="27" t="s">
        <v>97</v>
      </c>
      <c r="C18" s="34">
        <v>20168.72</v>
      </c>
      <c r="D18" s="34">
        <v>44326.68</v>
      </c>
      <c r="E18" s="34">
        <v>44380.99</v>
      </c>
      <c r="F18" s="34">
        <v>21683.08</v>
      </c>
      <c r="G18" s="34">
        <v>20300.669999999998</v>
      </c>
      <c r="H18" s="34">
        <v>23137.58</v>
      </c>
      <c r="I18" s="34">
        <v>35064.46</v>
      </c>
    </row>
    <row r="19" spans="2:10" ht="15.5" customHeight="1" x14ac:dyDescent="0.2">
      <c r="B19" s="35" t="s">
        <v>98</v>
      </c>
      <c r="C19" s="36"/>
      <c r="D19" s="36">
        <f t="shared" ref="D19:I19" si="4">D18/C18-1</f>
        <v>1.1977934147531424</v>
      </c>
      <c r="E19" s="36">
        <f t="shared" si="4"/>
        <v>1.2252214693271313E-3</v>
      </c>
      <c r="F19" s="36">
        <f t="shared" si="4"/>
        <v>-0.51143316090965962</v>
      </c>
      <c r="G19" s="36">
        <f t="shared" si="4"/>
        <v>-6.3755241414042763E-2</v>
      </c>
      <c r="H19" s="36">
        <f t="shared" si="4"/>
        <v>0.1397446488219356</v>
      </c>
      <c r="I19" s="36">
        <f t="shared" si="4"/>
        <v>0.51547655372774503</v>
      </c>
    </row>
    <row r="20" spans="2:10" ht="15.5" customHeight="1" x14ac:dyDescent="0.2">
      <c r="B20" s="46" t="s">
        <v>99</v>
      </c>
      <c r="C20" s="37">
        <v>-14012.06</v>
      </c>
      <c r="D20" s="37">
        <v>-9437.27</v>
      </c>
      <c r="E20" s="37">
        <v>-10905.02</v>
      </c>
      <c r="F20" s="37">
        <v>-18179.45</v>
      </c>
      <c r="G20" s="37">
        <v>-14252.74</v>
      </c>
      <c r="H20" s="37">
        <v>-13611.02</v>
      </c>
      <c r="I20" s="37">
        <v>-14397.35</v>
      </c>
    </row>
    <row r="21" spans="2:10" ht="15.5" customHeight="1" x14ac:dyDescent="0.2">
      <c r="B21" s="46" t="s">
        <v>100</v>
      </c>
      <c r="C21" s="37">
        <v>-1694.62</v>
      </c>
      <c r="D21" s="37">
        <v>-37089.67</v>
      </c>
      <c r="E21" s="37">
        <v>-23401.09</v>
      </c>
      <c r="F21" s="37">
        <v>-6980.69</v>
      </c>
      <c r="G21" s="37">
        <v>-11096.99</v>
      </c>
      <c r="H21" s="37">
        <v>-7002.44</v>
      </c>
      <c r="I21" s="37">
        <v>-21387.119999999999</v>
      </c>
    </row>
    <row r="22" spans="2:10" ht="15.5" customHeight="1" x14ac:dyDescent="0.2">
      <c r="B22" s="27" t="s">
        <v>101</v>
      </c>
      <c r="C22" s="34">
        <f t="shared" ref="C22:I22" si="5">C18+C20+C21</f>
        <v>4462.0400000000018</v>
      </c>
      <c r="D22" s="34">
        <f t="shared" si="5"/>
        <v>-2200.2599999999948</v>
      </c>
      <c r="E22" s="34">
        <f t="shared" si="5"/>
        <v>10074.880000000001</v>
      </c>
      <c r="F22" s="34">
        <f t="shared" si="5"/>
        <v>-3477.0599999999986</v>
      </c>
      <c r="G22" s="34">
        <f t="shared" si="5"/>
        <v>-5049.0600000000013</v>
      </c>
      <c r="H22" s="34">
        <f t="shared" si="5"/>
        <v>2524.1200000000017</v>
      </c>
      <c r="I22" s="34">
        <f t="shared" si="5"/>
        <v>-720.0099999999984</v>
      </c>
    </row>
    <row r="23" spans="2:10" ht="15.5" customHeight="1" x14ac:dyDescent="0.2">
      <c r="B23" s="46" t="s">
        <v>102</v>
      </c>
      <c r="C23" s="49">
        <f>C18/' P&amp;L'!P2</f>
        <v>0.14425120327228555</v>
      </c>
      <c r="D23" s="49">
        <f>D18/' P&amp;L'!Q2</f>
        <v>0.28327847983159232</v>
      </c>
      <c r="E23" s="49">
        <f>E18/' P&amp;L'!R2</f>
        <v>0.18191974501306918</v>
      </c>
      <c r="F23" s="49">
        <f>F18/' P&amp;L'!S2</f>
        <v>8.9101460107139152E-2</v>
      </c>
      <c r="G23" s="49">
        <f>G18/' P&amp;L'!T2</f>
        <v>8.8583151831136575E-2</v>
      </c>
      <c r="H23" s="49">
        <f>H18/' P&amp;L'!U2</f>
        <v>0.105872216805783</v>
      </c>
      <c r="I23" s="49">
        <f>I18/' P&amp;L'!V2</f>
        <v>0.15104880271787785</v>
      </c>
      <c r="J23" s="49"/>
    </row>
    <row r="24" spans="2:10" ht="15.5" customHeight="1" x14ac:dyDescent="0.2">
      <c r="B24" s="46" t="s">
        <v>103</v>
      </c>
      <c r="C24" s="49">
        <f>C18/' P&amp;L'!P29</f>
        <v>17.18461210752783</v>
      </c>
      <c r="D24" s="49">
        <f>D18/' P&amp;L'!Q29</f>
        <v>5.4124318205961357</v>
      </c>
      <c r="E24" s="49">
        <f>E18/' P&amp;L'!R29</f>
        <v>1.0630350386545215</v>
      </c>
      <c r="F24" s="49">
        <f>F18/' P&amp;L'!S29</f>
        <v>2.6850947636944524</v>
      </c>
      <c r="G24" s="49">
        <f>G18/' P&amp;L'!T29</f>
        <v>-4.1348844409230177</v>
      </c>
      <c r="H24" s="49">
        <f>H18/' P&amp;L'!U29</f>
        <v>7.290228056134926</v>
      </c>
      <c r="I24" s="49">
        <f>I18/' P&amp;L'!V29</f>
        <v>3.2211133382694186</v>
      </c>
    </row>
    <row r="25" spans="2:10" ht="15.5" customHeight="1" x14ac:dyDescent="0.2">
      <c r="B25" s="46" t="s">
        <v>104</v>
      </c>
      <c r="C25" s="76">
        <f>C2/' P&amp;L'!P13</f>
        <v>0.7321168225958109</v>
      </c>
      <c r="D25" s="76">
        <f>D2/' P&amp;L'!Q13</f>
        <v>0.617323613160916</v>
      </c>
      <c r="E25" s="76">
        <f>E2/' P&amp;L'!R13</f>
        <v>0.41376627324482057</v>
      </c>
      <c r="F25" s="76">
        <f>F2/' P&amp;L'!S13</f>
        <v>0.722070726584636</v>
      </c>
      <c r="G25" s="76">
        <f>G2/' P&amp;L'!T13</f>
        <v>0.54288221101118639</v>
      </c>
      <c r="H25" s="76">
        <f>H2/' P&amp;L'!U13</f>
        <v>0.82609804157962208</v>
      </c>
      <c r="I25" s="76">
        <f>I2/' P&amp;L'!V13</f>
        <v>0.73217506529376075</v>
      </c>
    </row>
    <row r="26" spans="2:10" ht="15.5" customHeight="1" x14ac:dyDescent="0.2">
      <c r="B26" s="38" t="s">
        <v>105</v>
      </c>
      <c r="C26" s="39">
        <v>10012</v>
      </c>
      <c r="D26" s="39">
        <v>6534</v>
      </c>
      <c r="E26" s="39">
        <v>9953</v>
      </c>
      <c r="F26" s="39">
        <v>13814</v>
      </c>
      <c r="G26" s="39">
        <v>17732</v>
      </c>
      <c r="H26" s="39">
        <v>14407</v>
      </c>
      <c r="I26" s="39">
        <v>13158</v>
      </c>
    </row>
    <row r="27" spans="2:10" ht="15.5" customHeight="1" x14ac:dyDescent="0.2">
      <c r="B27" s="46" t="s">
        <v>106</v>
      </c>
      <c r="C27" s="80">
        <f t="shared" ref="C27:I27" si="6">C18-C26</f>
        <v>10156.720000000001</v>
      </c>
      <c r="D27" s="80">
        <f t="shared" si="6"/>
        <v>37792.68</v>
      </c>
      <c r="E27" s="80">
        <f t="shared" si="6"/>
        <v>34427.99</v>
      </c>
      <c r="F27" s="80">
        <f t="shared" si="6"/>
        <v>7869.0800000000017</v>
      </c>
      <c r="G27" s="80">
        <f t="shared" si="6"/>
        <v>2568.6699999999983</v>
      </c>
      <c r="H27" s="80">
        <f t="shared" si="6"/>
        <v>8730.5800000000017</v>
      </c>
      <c r="I27" s="80">
        <f t="shared" si="6"/>
        <v>21906.46</v>
      </c>
    </row>
    <row r="28" spans="2:10" ht="15.5" customHeight="1" x14ac:dyDescent="0.2">
      <c r="B28" s="46" t="s">
        <v>107</v>
      </c>
      <c r="C28" s="210"/>
      <c r="D28" s="211"/>
      <c r="E28" s="211"/>
      <c r="F28" s="211"/>
      <c r="G28" s="211"/>
      <c r="H28" s="211"/>
      <c r="I28" s="211"/>
    </row>
    <row r="29" spans="2:10" ht="15.5" customHeight="1" x14ac:dyDescent="0.2">
      <c r="B29" s="46" t="s">
        <v>108</v>
      </c>
      <c r="C29" s="76"/>
      <c r="D29" s="76">
        <f t="shared" ref="D29:I29" si="7">D27/C27-1</f>
        <v>2.7209532211186285</v>
      </c>
      <c r="E29" s="76">
        <f t="shared" si="7"/>
        <v>-8.9030203732574753E-2</v>
      </c>
      <c r="F29" s="76">
        <f t="shared" si="7"/>
        <v>-0.77143365035251832</v>
      </c>
      <c r="G29" s="76">
        <f t="shared" si="7"/>
        <v>-0.67357429331001872</v>
      </c>
      <c r="H29" s="76">
        <f t="shared" si="7"/>
        <v>2.3988717896810443</v>
      </c>
      <c r="I29" s="76">
        <f t="shared" si="7"/>
        <v>1.5091643395971395</v>
      </c>
    </row>
    <row r="30" spans="2:10" ht="15.5" customHeight="1" x14ac:dyDescent="0.2">
      <c r="B30" s="46" t="s">
        <v>38</v>
      </c>
      <c r="C30" s="76">
        <f>C27/' P&amp;L'!P2</f>
        <v>7.2643136564922717E-2</v>
      </c>
      <c r="D30" s="76">
        <f>D27/' P&amp;L'!Q2</f>
        <v>0.24152165104992798</v>
      </c>
      <c r="E30" s="76">
        <f>E27/' P&amp;L'!R2</f>
        <v>0.14112193446141005</v>
      </c>
      <c r="F30" s="76">
        <f>F27/' P&amp;L'!S2</f>
        <v>3.2336112660188807E-2</v>
      </c>
      <c r="G30" s="76">
        <f>G27/' P&amp;L'!T2</f>
        <v>1.1208540635066993E-2</v>
      </c>
      <c r="H30" s="76">
        <f>H27/' P&amp;L'!U2</f>
        <v>3.9949115620571948E-2</v>
      </c>
      <c r="I30" s="76">
        <f>I27/' P&amp;L'!V2</f>
        <v>9.4367475066978984E-2</v>
      </c>
    </row>
    <row r="31" spans="2:10" ht="15.5" customHeight="1" x14ac:dyDescent="0.2">
      <c r="B31" s="46" t="s">
        <v>109</v>
      </c>
      <c r="C31" s="76">
        <f>C27/' P&amp;L'!P29</f>
        <v>8.6539598687854298</v>
      </c>
      <c r="D31" s="76">
        <f>D27/' P&amp;L'!Q29</f>
        <v>4.614609165802789</v>
      </c>
      <c r="E31" s="76">
        <f>E27/' P&amp;L'!R29</f>
        <v>0.82463594616630864</v>
      </c>
      <c r="F31" s="76">
        <f>F27/' P&amp;L'!S29</f>
        <v>0.9744568346882797</v>
      </c>
      <c r="G31" s="76">
        <f>G27/' P&amp;L'!T29</f>
        <v>-0.52319226985442946</v>
      </c>
      <c r="H31" s="76">
        <f>H27/' P&amp;L'!U29</f>
        <v>2.7508459943663279</v>
      </c>
      <c r="I31" s="76">
        <f>I27/' P&amp;L'!V29</f>
        <v>2.0123849190965863</v>
      </c>
    </row>
    <row r="33" spans="2:24" ht="15.5" customHeight="1" x14ac:dyDescent="0.2">
      <c r="B33" s="46" t="s">
        <v>47</v>
      </c>
    </row>
    <row r="34" spans="2:24" ht="15.5" customHeight="1" x14ac:dyDescent="0.2">
      <c r="B34" s="18" t="s">
        <v>43</v>
      </c>
      <c r="C34" s="74">
        <v>43921</v>
      </c>
      <c r="D34" s="74">
        <v>44286</v>
      </c>
      <c r="E34" s="74">
        <v>44651</v>
      </c>
      <c r="F34" s="74">
        <v>45016</v>
      </c>
      <c r="G34" s="74">
        <v>45382</v>
      </c>
      <c r="H34" s="74">
        <v>45747</v>
      </c>
      <c r="I34" s="74">
        <v>46112</v>
      </c>
    </row>
    <row r="35" spans="2:24" ht="15.5" customHeight="1" x14ac:dyDescent="0.2">
      <c r="B35" s="27" t="s">
        <v>97</v>
      </c>
      <c r="C35" s="34">
        <v>8814.32</v>
      </c>
      <c r="D35" s="34">
        <v>11960.93</v>
      </c>
      <c r="E35" s="34">
        <v>16047.77</v>
      </c>
      <c r="F35" s="34">
        <v>7347.41</v>
      </c>
      <c r="G35" s="34">
        <v>6008.35</v>
      </c>
      <c r="H35" s="34">
        <v>10823.96</v>
      </c>
      <c r="I35" s="34">
        <v>7204.23</v>
      </c>
    </row>
    <row r="36" spans="2:24" ht="15.5" customHeight="1" x14ac:dyDescent="0.2">
      <c r="B36" s="35" t="s">
        <v>98</v>
      </c>
      <c r="C36" s="36">
        <v>-2.354853111093624E-2</v>
      </c>
      <c r="D36" s="36">
        <f t="shared" ref="D36:I36" si="8">D35/C35-1</f>
        <v>0.3569884006934172</v>
      </c>
      <c r="E36" s="36">
        <f t="shared" si="8"/>
        <v>0.34168246114641598</v>
      </c>
      <c r="F36" s="36">
        <f t="shared" si="8"/>
        <v>-0.5421538319654382</v>
      </c>
      <c r="G36" s="36">
        <f t="shared" si="8"/>
        <v>-0.18224925517971635</v>
      </c>
      <c r="H36" s="36">
        <f t="shared" si="8"/>
        <v>0.80148626494794728</v>
      </c>
      <c r="I36" s="36">
        <f t="shared" si="8"/>
        <v>-0.33441827205569863</v>
      </c>
    </row>
    <row r="37" spans="2:24" ht="15.5" customHeight="1" x14ac:dyDescent="0.2">
      <c r="B37" s="46" t="s">
        <v>99</v>
      </c>
      <c r="C37" s="37">
        <v>-1475.61</v>
      </c>
      <c r="D37" s="37">
        <v>-1884.23</v>
      </c>
      <c r="E37" s="37">
        <v>-2331.3200000000002</v>
      </c>
      <c r="F37" s="37">
        <v>-4090.4</v>
      </c>
      <c r="G37" s="37">
        <v>-8344.07</v>
      </c>
      <c r="H37" s="37">
        <v>-12322.78</v>
      </c>
      <c r="I37" s="37">
        <v>-10733.93</v>
      </c>
    </row>
    <row r="38" spans="2:24" ht="15.5" customHeight="1" x14ac:dyDescent="0.2">
      <c r="B38" s="46" t="s">
        <v>100</v>
      </c>
      <c r="C38" s="37">
        <v>-7016.42</v>
      </c>
      <c r="D38" s="37">
        <v>-4611.9799999999996</v>
      </c>
      <c r="E38" s="37">
        <v>-15119.57</v>
      </c>
      <c r="F38" s="37">
        <v>-2500.46</v>
      </c>
      <c r="G38" s="37">
        <v>1381.05</v>
      </c>
      <c r="H38" s="37">
        <v>809.41</v>
      </c>
      <c r="I38" s="37">
        <v>2802.51</v>
      </c>
    </row>
    <row r="39" spans="2:24" ht="15.5" customHeight="1" x14ac:dyDescent="0.2">
      <c r="B39" s="27" t="s">
        <v>101</v>
      </c>
      <c r="C39" s="34">
        <v>322.29000000000002</v>
      </c>
      <c r="D39" s="34">
        <v>5464.72</v>
      </c>
      <c r="E39" s="34">
        <v>-1403.12</v>
      </c>
      <c r="F39" s="34">
        <v>756.55</v>
      </c>
      <c r="G39" s="34">
        <v>-954.67</v>
      </c>
      <c r="H39" s="34">
        <v>-689.41</v>
      </c>
      <c r="I39" s="34">
        <v>-727.19</v>
      </c>
    </row>
    <row r="40" spans="2:24" ht="15.5" customHeight="1" x14ac:dyDescent="0.2">
      <c r="B40" s="46" t="s">
        <v>102</v>
      </c>
      <c r="C40" s="76">
        <v>0.23242559499873289</v>
      </c>
      <c r="D40" s="76">
        <v>0.34590255907504291</v>
      </c>
      <c r="E40" s="76">
        <v>0.3136434919997092</v>
      </c>
      <c r="F40" s="76">
        <v>0.13807931064551429</v>
      </c>
      <c r="G40" s="76">
        <v>0.1193211324917659</v>
      </c>
      <c r="H40" s="76">
        <v>0.21592358542997159</v>
      </c>
      <c r="I40" s="76">
        <v>0.1347722423690273</v>
      </c>
    </row>
    <row r="41" spans="2:24" ht="15.5" customHeight="1" x14ac:dyDescent="0.2">
      <c r="B41" s="46" t="s">
        <v>103</v>
      </c>
      <c r="C41" s="76">
        <v>-22.05233925444098</v>
      </c>
      <c r="D41" s="76">
        <v>2.8030976977014519</v>
      </c>
      <c r="E41" s="76">
        <v>2.37183932509208</v>
      </c>
      <c r="F41" s="76">
        <v>1.848828285217498</v>
      </c>
      <c r="G41" s="76">
        <v>1.010941695887146</v>
      </c>
      <c r="H41" s="76">
        <v>3.8036462286694208</v>
      </c>
      <c r="I41" s="76">
        <v>2.1435610422301439</v>
      </c>
      <c r="M41" s="50"/>
      <c r="N41" s="50"/>
      <c r="O41" s="50"/>
      <c r="P41" s="50"/>
      <c r="Q41" s="50"/>
      <c r="R41" s="50"/>
      <c r="S41" s="50"/>
      <c r="T41" s="50"/>
      <c r="U41" s="50"/>
      <c r="V41" s="50"/>
      <c r="W41" s="50"/>
      <c r="X41" s="50"/>
    </row>
    <row r="42" spans="2:24" ht="15.5" customHeight="1" x14ac:dyDescent="0.2">
      <c r="B42" s="46" t="s">
        <v>104</v>
      </c>
      <c r="C42" s="76">
        <v>1.290331647404132</v>
      </c>
      <c r="D42" s="76">
        <v>0.91257717391636084</v>
      </c>
      <c r="E42" s="76">
        <v>1.0314192758880441</v>
      </c>
      <c r="F42" s="76">
        <v>0.73903181873960244</v>
      </c>
      <c r="G42" s="76">
        <v>0.58896384474531316</v>
      </c>
      <c r="H42" s="76">
        <v>1.140770360096498</v>
      </c>
      <c r="I42" s="76">
        <v>0.74239109488885691</v>
      </c>
      <c r="M42" s="50"/>
      <c r="W42" s="50"/>
      <c r="X42" s="50"/>
    </row>
    <row r="43" spans="2:24" ht="15.5" customHeight="1" x14ac:dyDescent="0.2">
      <c r="B43" s="38" t="s">
        <v>105</v>
      </c>
      <c r="C43" s="39">
        <v>1506</v>
      </c>
      <c r="D43" s="39">
        <v>837</v>
      </c>
      <c r="E43" s="39">
        <v>2872</v>
      </c>
      <c r="F43" s="39">
        <v>6402</v>
      </c>
      <c r="G43" s="39">
        <v>8427</v>
      </c>
      <c r="H43" s="39">
        <v>10490</v>
      </c>
      <c r="I43" s="39">
        <v>9547</v>
      </c>
      <c r="R43" s="50"/>
      <c r="S43" s="50"/>
      <c r="T43" s="50"/>
      <c r="U43" s="50"/>
      <c r="V43" s="50"/>
      <c r="W43" s="50"/>
      <c r="X43" s="50"/>
    </row>
    <row r="44" spans="2:24" ht="15.5" customHeight="1" x14ac:dyDescent="0.2">
      <c r="B44" s="46" t="s">
        <v>106</v>
      </c>
      <c r="C44" s="80">
        <v>5742.32</v>
      </c>
      <c r="D44" s="80">
        <v>9168.93</v>
      </c>
      <c r="E44" s="80">
        <v>12899.77</v>
      </c>
      <c r="F44" s="80">
        <v>5513.41</v>
      </c>
      <c r="G44" s="80">
        <v>3566.35</v>
      </c>
      <c r="H44" s="80">
        <v>8823.9599999999991</v>
      </c>
      <c r="I44" s="80">
        <v>4504.2299999999996</v>
      </c>
    </row>
    <row r="45" spans="2:24" ht="15.5" customHeight="1" x14ac:dyDescent="0.2">
      <c r="B45" s="46" t="s">
        <v>107</v>
      </c>
      <c r="C45" s="210"/>
      <c r="D45" s="211"/>
      <c r="E45" s="211"/>
      <c r="F45" s="211"/>
      <c r="G45" s="211"/>
      <c r="H45" s="211"/>
      <c r="I45" s="211"/>
    </row>
    <row r="46" spans="2:24" ht="15.5" customHeight="1" x14ac:dyDescent="0.2">
      <c r="B46" s="46" t="s">
        <v>108</v>
      </c>
      <c r="C46" s="76">
        <v>-0.14125699689990409</v>
      </c>
      <c r="D46" s="76">
        <v>0.59672919656166856</v>
      </c>
      <c r="E46" s="76">
        <v>0.40690025989946488</v>
      </c>
      <c r="F46" s="76">
        <v>-0.57259625559215399</v>
      </c>
      <c r="G46" s="76">
        <v>-0.35314986550972982</v>
      </c>
      <c r="H46" s="76">
        <v>1.4742271510087339</v>
      </c>
      <c r="I46" s="76">
        <v>-0.4895455101791033</v>
      </c>
    </row>
    <row r="47" spans="2:24" ht="15.5" customHeight="1" x14ac:dyDescent="0.2">
      <c r="B47" s="46" t="s">
        <v>38</v>
      </c>
      <c r="C47" s="76">
        <v>0.1514197513447576</v>
      </c>
      <c r="D47" s="76">
        <v>0.26515967830092918</v>
      </c>
      <c r="E47" s="76">
        <v>0.25211782751080608</v>
      </c>
      <c r="F47" s="76">
        <v>0.1036130897970966</v>
      </c>
      <c r="G47" s="76">
        <v>7.0824922127041418E-2</v>
      </c>
      <c r="H47" s="76">
        <v>0.17602624925541591</v>
      </c>
      <c r="I47" s="76">
        <v>8.4262326056475698E-2</v>
      </c>
    </row>
    <row r="48" spans="2:24" ht="15.5" customHeight="1" x14ac:dyDescent="0.2">
      <c r="B48" s="46" t="s">
        <v>109</v>
      </c>
      <c r="C48" s="76">
        <v>-52.599798479435698</v>
      </c>
      <c r="D48" s="76">
        <v>2.523401292396438</v>
      </c>
      <c r="E48" s="76">
        <v>2.242248894064887</v>
      </c>
      <c r="F48" s="76">
        <v>1.737087027480041</v>
      </c>
      <c r="G48" s="76">
        <v>0.60055536657898911</v>
      </c>
      <c r="H48" s="76">
        <v>3.137820797758283</v>
      </c>
      <c r="I48" s="76">
        <v>1.3376066853161801</v>
      </c>
    </row>
  </sheetData>
  <mergeCells count="2">
    <mergeCell ref="C28:I28"/>
    <mergeCell ref="C45:I4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A47"/>
  <sheetViews>
    <sheetView workbookViewId="0">
      <selection activeCell="J9" sqref="J9"/>
    </sheetView>
  </sheetViews>
  <sheetFormatPr baseColWidth="10" defaultColWidth="8.83203125" defaultRowHeight="15" x14ac:dyDescent="0.2"/>
  <cols>
    <col min="1" max="1" width="1.5" customWidth="1"/>
    <col min="2" max="2" width="28.1640625" bestFit="1" customWidth="1"/>
    <col min="3" max="3" width="10.83203125" bestFit="1" customWidth="1"/>
    <col min="4" max="4" width="9.83203125" bestFit="1" customWidth="1"/>
    <col min="5" max="5" width="9.33203125" bestFit="1" customWidth="1"/>
    <col min="7" max="7" width="9.33203125" bestFit="1" customWidth="1"/>
    <col min="9" max="9" width="9.33203125" bestFit="1" customWidth="1"/>
    <col min="10" max="10" width="122.83203125" customWidth="1"/>
    <col min="11" max="11" width="28.1640625" bestFit="1" customWidth="1"/>
    <col min="12" max="12" width="11" bestFit="1" customWidth="1"/>
    <col min="13" max="16" width="9.33203125" bestFit="1" customWidth="1"/>
    <col min="17" max="17" width="8.1640625" bestFit="1" customWidth="1"/>
    <col min="18" max="18" width="9.33203125" bestFit="1" customWidth="1"/>
    <col min="20" max="20" width="28.1640625" bestFit="1" customWidth="1"/>
    <col min="22" max="22" width="9.33203125" bestFit="1" customWidth="1"/>
    <col min="23" max="24" width="8.1640625" bestFit="1" customWidth="1"/>
  </cols>
  <sheetData>
    <row r="1" spans="2:27" x14ac:dyDescent="0.2">
      <c r="B1" t="s">
        <v>0</v>
      </c>
      <c r="K1" t="s">
        <v>46</v>
      </c>
      <c r="T1" t="s">
        <v>47</v>
      </c>
    </row>
    <row r="2" spans="2:27" ht="15.5" customHeight="1" x14ac:dyDescent="0.2">
      <c r="B2" s="18" t="s">
        <v>1</v>
      </c>
      <c r="C2" s="77">
        <v>43921</v>
      </c>
      <c r="D2" s="77">
        <v>44286</v>
      </c>
      <c r="E2" s="77">
        <v>44651</v>
      </c>
      <c r="F2" s="77">
        <v>45016</v>
      </c>
      <c r="G2" s="77">
        <v>45382</v>
      </c>
      <c r="H2" s="77">
        <v>45747</v>
      </c>
      <c r="I2" s="77">
        <v>46112</v>
      </c>
      <c r="K2" s="18" t="s">
        <v>1</v>
      </c>
      <c r="L2" s="77">
        <v>43921</v>
      </c>
      <c r="M2" s="77">
        <v>44286</v>
      </c>
      <c r="N2" s="77">
        <v>44651</v>
      </c>
      <c r="O2" s="77">
        <v>45016</v>
      </c>
      <c r="P2" s="77">
        <v>45382</v>
      </c>
      <c r="Q2" s="77">
        <v>45747</v>
      </c>
      <c r="R2" s="77">
        <v>46112</v>
      </c>
      <c r="T2" s="18" t="s">
        <v>1</v>
      </c>
      <c r="U2" s="77">
        <v>43921</v>
      </c>
      <c r="V2" s="77">
        <v>44286</v>
      </c>
      <c r="W2" s="77">
        <v>44651</v>
      </c>
      <c r="X2" s="77">
        <v>45016</v>
      </c>
      <c r="Y2" s="77">
        <v>45382</v>
      </c>
      <c r="Z2" s="77">
        <v>45747</v>
      </c>
      <c r="AA2" s="77">
        <v>46112</v>
      </c>
    </row>
    <row r="3" spans="2:27" ht="15.5" customHeight="1" x14ac:dyDescent="0.2">
      <c r="B3" s="46" t="s">
        <v>2</v>
      </c>
      <c r="C3" s="78"/>
      <c r="D3" s="31">
        <f>' P&amp;L'!D3</f>
        <v>8.8822518615497836E-2</v>
      </c>
      <c r="E3" s="136">
        <v>0.83332707072984391</v>
      </c>
      <c r="F3" s="31">
        <v>0.13383115507853341</v>
      </c>
      <c r="G3" s="31">
        <v>5.4507110147023363E-2</v>
      </c>
      <c r="H3" s="31">
        <v>-3.5324503159891663E-2</v>
      </c>
      <c r="I3" s="31">
        <v>9.8599725157560547E-2</v>
      </c>
      <c r="K3" s="46" t="s">
        <v>2</v>
      </c>
      <c r="L3" s="78"/>
      <c r="M3" s="31">
        <f>' P&amp;L'!Q3</f>
        <v>0.11916141604022124</v>
      </c>
      <c r="N3" s="31">
        <f>' P&amp;L'!R3</f>
        <v>0.55906968035000593</v>
      </c>
      <c r="O3" s="31">
        <f>' P&amp;L'!S3</f>
        <v>-2.4859897662383723E-3</v>
      </c>
      <c r="P3" s="31">
        <f>' P&amp;L'!T3</f>
        <v>-5.8277186087402622E-2</v>
      </c>
      <c r="Q3" s="31">
        <f>' P&amp;L'!U3</f>
        <v>-4.6377073028245563E-2</v>
      </c>
      <c r="R3" s="31">
        <f>' P&amp;L'!V3</f>
        <v>6.2218696033096599E-2</v>
      </c>
      <c r="T3" s="46" t="s">
        <v>2</v>
      </c>
      <c r="U3" s="31">
        <v>-0.1925350265959824</v>
      </c>
      <c r="V3" s="31">
        <f>' P&amp;L'!AD3</f>
        <v>-8.8185883096859707E-2</v>
      </c>
      <c r="W3" s="31">
        <f>' P&amp;L'!AE3</f>
        <v>0.47967806957421999</v>
      </c>
      <c r="X3" s="31">
        <f>' P&amp;L'!AF3</f>
        <v>3.9985427720634403E-2</v>
      </c>
      <c r="Y3" s="31">
        <f>' P&amp;L'!AG3</f>
        <v>-5.369269661907794E-2</v>
      </c>
      <c r="Z3" s="31">
        <f>' P&amp;L'!AH3</f>
        <v>-4.4840128330265738E-3</v>
      </c>
      <c r="AA3" s="31">
        <f>' P&amp;L'!AI3</f>
        <v>6.6353060305222478E-2</v>
      </c>
    </row>
    <row r="4" spans="2:27" ht="15.5" customHeight="1" x14ac:dyDescent="0.2">
      <c r="B4" s="40" t="s">
        <v>3</v>
      </c>
      <c r="C4" s="79"/>
      <c r="D4" s="92">
        <f>' P&amp;L'!D4/' P&amp;L'!C4-1</f>
        <v>-3.0107456960317358E-2</v>
      </c>
      <c r="E4" s="92">
        <f>' P&amp;L'!E4/' P&amp;L'!D4-1</f>
        <v>0.7977740902767303</v>
      </c>
      <c r="F4" s="92">
        <f>' P&amp;L'!F4/' P&amp;L'!E4-1</f>
        <v>0.37510838453434281</v>
      </c>
      <c r="G4" s="92">
        <f>' P&amp;L'!G4/' P&amp;L'!F4-1</f>
        <v>-4.3460573598209651E-3</v>
      </c>
      <c r="H4" s="92">
        <f>' P&amp;L'!H4/' P&amp;L'!G4-1</f>
        <v>-5.1072870772017609E-3</v>
      </c>
      <c r="I4" s="92">
        <f>' P&amp;L'!I4/' P&amp;L'!H4-1</f>
        <v>6.7810183505705002E-2</v>
      </c>
      <c r="K4" s="40" t="s">
        <v>3</v>
      </c>
      <c r="L4" s="79"/>
      <c r="M4" s="92">
        <f>' P&amp;L'!Q4/' P&amp;L'!P4-1</f>
        <v>2.9582703703258773E-2</v>
      </c>
      <c r="N4" s="92">
        <f>' P&amp;L'!R4/' P&amp;L'!Q4-1</f>
        <v>0.43260079093051118</v>
      </c>
      <c r="O4" s="92">
        <f>' P&amp;L'!S4/' P&amp;L'!R4-1</f>
        <v>0.16946551882919425</v>
      </c>
      <c r="P4" s="92">
        <f>' P&amp;L'!T4/' P&amp;L'!S4-1</f>
        <v>-1.956702438013902E-2</v>
      </c>
      <c r="Q4" s="92">
        <f>' P&amp;L'!U4/' P&amp;L'!T4-1</f>
        <v>-6.610579420756113E-2</v>
      </c>
      <c r="R4" s="92">
        <f>' P&amp;L'!V4/' P&amp;L'!U4-1</f>
        <v>2.351140831961418E-2</v>
      </c>
      <c r="T4" s="40" t="s">
        <v>3</v>
      </c>
      <c r="U4" s="92"/>
      <c r="V4" s="92">
        <f>' P&amp;L'!AD4/' P&amp;L'!AC4-1</f>
        <v>-0.30940295521633443</v>
      </c>
      <c r="W4" s="92">
        <f>' P&amp;L'!AE4/' P&amp;L'!AD4-1</f>
        <v>0.65827532793657273</v>
      </c>
      <c r="X4" s="92">
        <f>' P&amp;L'!AF4/' P&amp;L'!AE4-1</f>
        <v>0.2152082528241861</v>
      </c>
      <c r="Y4" s="92">
        <f>' P&amp;L'!AG4/' P&amp;L'!AF4-1</f>
        <v>-7.2029587530084815E-2</v>
      </c>
      <c r="Z4" s="92">
        <f>' P&amp;L'!AH4/' P&amp;L'!AG4-1</f>
        <v>1.2140595608435945E-2</v>
      </c>
      <c r="AA4" s="92">
        <f>' P&amp;L'!AI4/' P&amp;L'!AH4-1</f>
        <v>7.6534490212564643E-2</v>
      </c>
    </row>
    <row r="5" spans="2:27" ht="15.5" customHeight="1" x14ac:dyDescent="0.2">
      <c r="B5" s="40" t="s">
        <v>4</v>
      </c>
      <c r="C5" s="79"/>
      <c r="D5" s="92">
        <f>' P&amp;L'!D11/' P&amp;L'!C11-1</f>
        <v>0.36872924313931055</v>
      </c>
      <c r="E5" s="92">
        <f>' P&amp;L'!E11/' P&amp;L'!D11-1</f>
        <v>0.77723857565502419</v>
      </c>
      <c r="F5" s="92">
        <f>' P&amp;L'!F11/' P&amp;L'!E11-1</f>
        <v>-0.16179640718562871</v>
      </c>
      <c r="G5" s="92">
        <f>' P&amp;L'!G11/' P&amp;L'!F11-1</f>
        <v>0.14662094584940699</v>
      </c>
      <c r="H5" s="92">
        <f>' P&amp;L'!H11/' P&amp;L'!G11-1</f>
        <v>-7.4390669391417585E-3</v>
      </c>
      <c r="I5" s="92">
        <f>' P&amp;L'!I11/' P&amp;L'!H11-1</f>
        <v>0.17504237022158065</v>
      </c>
      <c r="K5" s="40" t="s">
        <v>4</v>
      </c>
      <c r="L5" s="79"/>
      <c r="M5" s="92">
        <f>' P&amp;L'!Q11/' P&amp;L'!P11-1</f>
        <v>0.2396763330759657</v>
      </c>
      <c r="N5" s="92">
        <f>' P&amp;L'!R11/' P&amp;L'!Q11-1</f>
        <v>0.50806571813078349</v>
      </c>
      <c r="O5" s="92">
        <f>' P&amp;L'!S11/' P&amp;L'!R11-1</f>
        <v>-0.17089627489230963</v>
      </c>
      <c r="P5" s="92">
        <f>' P&amp;L'!T11/' P&amp;L'!S11-1</f>
        <v>3.8727234715653536E-2</v>
      </c>
      <c r="Q5" s="92">
        <f>' P&amp;L'!U11/' P&amp;L'!T11-1</f>
        <v>-6.2425231302100759E-2</v>
      </c>
      <c r="R5" s="92">
        <f>' P&amp;L'!V11/' P&amp;L'!U11-1</f>
        <v>0.13015215414190617</v>
      </c>
      <c r="T5" s="40" t="s">
        <v>4</v>
      </c>
      <c r="U5" s="92"/>
      <c r="V5" s="92">
        <f>' P&amp;L'!AD11/' P&amp;L'!AC11-1</f>
        <v>-0.10658787085228949</v>
      </c>
      <c r="W5" s="92">
        <f>' P&amp;L'!AE11/' P&amp;L'!AD11-1</f>
        <v>0.2597497081051916</v>
      </c>
      <c r="X5" s="92">
        <f>' P&amp;L'!AF11/' P&amp;L'!AE11-1</f>
        <v>-5.0772451138768382E-2</v>
      </c>
      <c r="Y5" s="92">
        <f>' P&amp;L'!AG11/' P&amp;L'!AF11-1</f>
        <v>-2.8527356723438979E-3</v>
      </c>
      <c r="Z5" s="92">
        <f>' P&amp;L'!AH11/' P&amp;L'!AG11-1</f>
        <v>-2.311766018001038E-2</v>
      </c>
      <c r="AA5" s="92">
        <f>' P&amp;L'!AI11/' P&amp;L'!AH11-1</f>
        <v>-2.1519578698555586E-2</v>
      </c>
    </row>
    <row r="6" spans="2:27" ht="15.5" customHeight="1" x14ac:dyDescent="0.2">
      <c r="B6" s="40" t="s">
        <v>5</v>
      </c>
      <c r="C6" s="79"/>
      <c r="D6" s="92">
        <f>' P&amp;L'!D13/' P&amp;L'!C13-1</f>
        <v>0.70811817489206796</v>
      </c>
      <c r="E6" s="92">
        <f>' P&amp;L'!E13/' P&amp;L'!D13-1</f>
        <v>0.93844781445138259</v>
      </c>
      <c r="F6" s="92">
        <f>' P&amp;L'!F13/' P&amp;L'!E13-1</f>
        <v>-0.52779056092447718</v>
      </c>
      <c r="G6" s="92">
        <f>' P&amp;L'!G13/' P&amp;L'!F13-1</f>
        <v>0.5244721169463995</v>
      </c>
      <c r="H6" s="92">
        <f>' P&amp;L'!H13/' P&amp;L'!G13-1</f>
        <v>-0.19291827964626918</v>
      </c>
      <c r="I6" s="92">
        <f>' P&amp;L'!I13/' P&amp;L'!H13-1</f>
        <v>0.29654565456545656</v>
      </c>
      <c r="K6" s="40" t="s">
        <v>5</v>
      </c>
      <c r="L6" s="79"/>
      <c r="M6" s="92">
        <f>' P&amp;L'!Q13/' P&amp;L'!P13-1</f>
        <v>0.7467877909140781</v>
      </c>
      <c r="N6" s="92">
        <f>' P&amp;L'!R13/' P&amp;L'!Q13-1</f>
        <v>1.081346998747061</v>
      </c>
      <c r="O6" s="92">
        <f>' P&amp;L'!S13/' P&amp;L'!R13-1</f>
        <v>-0.49125554516895986</v>
      </c>
      <c r="P6" s="92">
        <f>' P&amp;L'!T13/' P&amp;L'!S13-1</f>
        <v>-0.31121331906714977</v>
      </c>
      <c r="Q6" s="92">
        <f>' P&amp;L'!U13/' P&amp;L'!T13-1</f>
        <v>0.13711528987878396</v>
      </c>
      <c r="R6" s="92">
        <f>' P&amp;L'!V13/' P&amp;L'!U13-1</f>
        <v>0.35788714328348137</v>
      </c>
      <c r="T6" s="40" t="s">
        <v>5</v>
      </c>
      <c r="U6" s="92"/>
      <c r="V6" s="92">
        <f>' P&amp;L'!AD13/' P&amp;L'!AC13-1</f>
        <v>0.91870356680158927</v>
      </c>
      <c r="W6" s="92">
        <f>' P&amp;L'!AE13/' P&amp;L'!AD13-1</f>
        <v>0.18709124146623535</v>
      </c>
      <c r="X6" s="92">
        <f>' P&amp;L'!AF13/' P&amp;L'!AE13-1</f>
        <v>-0.36101348936815691</v>
      </c>
      <c r="Y6" s="92">
        <f>' P&amp;L'!AG13/' P&amp;L'!AF13-1</f>
        <v>2.6113615652479272E-2</v>
      </c>
      <c r="Z6" s="92">
        <f>' P&amp;L'!AH13/' P&amp;L'!AG13-1</f>
        <v>-6.9917738071432534E-2</v>
      </c>
      <c r="AA6" s="92">
        <f>' P&amp;L'!AI13/' P&amp;L'!AH13-1</f>
        <v>2.2743824229654486E-2</v>
      </c>
    </row>
    <row r="7" spans="2:27" ht="15.5" customHeight="1" x14ac:dyDescent="0.2">
      <c r="B7" s="40" t="s">
        <v>6</v>
      </c>
      <c r="C7" s="79"/>
      <c r="D7" s="92">
        <f>' P&amp;L'!D19/' P&amp;L'!C19-1</f>
        <v>1.0482357605391832</v>
      </c>
      <c r="E7" s="92">
        <f>' P&amp;L'!E19/' P&amp;L'!D19-1</f>
        <v>1.1364604168010839</v>
      </c>
      <c r="F7" s="92">
        <f>' P&amp;L'!F19/' P&amp;L'!E19-1</f>
        <v>-0.66792498414519974</v>
      </c>
      <c r="G7" s="92">
        <f>' P&amp;L'!G19/' P&amp;L'!F19-1</f>
        <v>0.81747908330301922</v>
      </c>
      <c r="H7" s="92">
        <f>' P&amp;L'!H19/' P&amp;L'!G19-1</f>
        <v>-0.32869652239179381</v>
      </c>
      <c r="I7" s="92">
        <f>' P&amp;L'!I19/' P&amp;L'!H19-1</f>
        <v>0.48054561717352406</v>
      </c>
      <c r="K7" s="40" t="s">
        <v>6</v>
      </c>
      <c r="L7" s="79"/>
      <c r="M7" s="92">
        <f>' P&amp;L'!Q19/' P&amp;L'!P19-1</f>
        <v>1.3575528715974698</v>
      </c>
      <c r="N7" s="92">
        <f>' P&amp;L'!R19/' P&amp;L'!Q19-1</f>
        <v>1.5570049204019449</v>
      </c>
      <c r="O7" s="92">
        <f>' P&amp;L'!S19/' P&amp;L'!R19-1</f>
        <v>-0.57776524258178297</v>
      </c>
      <c r="P7" s="92">
        <f>' P&amp;L'!T19/' P&amp;L'!S19-1</f>
        <v>-0.46153792560492113</v>
      </c>
      <c r="Q7" s="92">
        <f>' P&amp;L'!U19/' P&amp;L'!T19-1</f>
        <v>0.20308982221877159</v>
      </c>
      <c r="R7" s="92">
        <f>' P&amp;L'!V19/' P&amp;L'!U19-1</f>
        <v>0.50552862381966279</v>
      </c>
      <c r="T7" s="40" t="s">
        <v>6</v>
      </c>
      <c r="U7" s="92"/>
      <c r="V7" s="49">
        <f>' P&amp;L'!AD19/' P&amp;L'!AC19-1</f>
        <v>2.1428760383048493</v>
      </c>
      <c r="W7" s="49">
        <f>' P&amp;L'!AE19/' P&amp;L'!AD19-1</f>
        <v>0.25901111326212511</v>
      </c>
      <c r="X7" s="49">
        <f>' P&amp;L'!AF19/' P&amp;L'!AE19-1</f>
        <v>-0.4613790972311983</v>
      </c>
      <c r="Y7" s="49">
        <f>' P&amp;L'!AG19/' P&amp;L'!AF19-1</f>
        <v>1.7765849904635145E-2</v>
      </c>
      <c r="Z7" s="49">
        <f>' P&amp;L'!AH19/' P&amp;L'!AG19-1</f>
        <v>-8.9307177285052552E-2</v>
      </c>
      <c r="AA7" s="49">
        <f>' P&amp;L'!AI19/' P&amp;L'!AH19-1</f>
        <v>-2.7987989417833647E-2</v>
      </c>
    </row>
    <row r="8" spans="2:27" ht="15.5" customHeight="1" x14ac:dyDescent="0.2">
      <c r="B8" s="40" t="s">
        <v>7</v>
      </c>
      <c r="C8" s="79"/>
      <c r="D8" s="92">
        <f>' P&amp;L'!D24/' P&amp;L'!C24-1</f>
        <v>2.9877198805177563</v>
      </c>
      <c r="E8" s="92">
        <f>' P&amp;L'!E24/' P&amp;L'!D24-1</f>
        <v>1.4756554307116105</v>
      </c>
      <c r="F8" s="92">
        <f>' P&amp;L'!F24/' P&amp;L'!E24-1</f>
        <v>-0.8098840141200202</v>
      </c>
      <c r="G8" s="92">
        <f>' P&amp;L'!G24/' P&amp;L'!F24-1</f>
        <v>1.3660477453580904</v>
      </c>
      <c r="H8" s="92">
        <f>' P&amp;L'!H24/' P&amp;L'!G24-1</f>
        <v>-0.62055306427503742</v>
      </c>
      <c r="I8" s="92">
        <f>' P&amp;L'!I24/' P&amp;L'!H24-1</f>
        <v>4.7612763442978139</v>
      </c>
      <c r="K8" s="40" t="s">
        <v>7</v>
      </c>
      <c r="L8" s="79"/>
      <c r="M8" s="92">
        <f>' P&amp;L'!Q24/' P&amp;L'!P24-1</f>
        <v>-10.925499727551676</v>
      </c>
      <c r="N8" s="92">
        <f>' P&amp;L'!R24/' P&amp;L'!Q24-1</f>
        <v>2.6281417743390691</v>
      </c>
      <c r="O8" s="92">
        <f>' P&amp;L'!S24/' P&amp;L'!R24-1</f>
        <v>-0.63694492609234854</v>
      </c>
      <c r="P8" s="92">
        <f>' P&amp;L'!T24/' P&amp;L'!S24-1</f>
        <v>-1.0629027941686144</v>
      </c>
      <c r="Q8" s="92">
        <f>' P&amp;L'!U24/' P&amp;L'!T24-1</f>
        <v>-8.3344172827452532</v>
      </c>
      <c r="R8" s="92">
        <f>' P&amp;L'!V24/' P&amp;L'!U24-1</f>
        <v>0.89812632312159502</v>
      </c>
      <c r="T8" s="40" t="s">
        <v>7</v>
      </c>
      <c r="U8" s="92"/>
      <c r="V8" s="92">
        <f>' P&amp;L'!AD24/' P&amp;L'!AC24-1</f>
        <v>-21.868154506437964</v>
      </c>
      <c r="W8" s="92">
        <f>' P&amp;L'!AE24/' P&amp;L'!AD24-1</f>
        <v>0.59439439933529092</v>
      </c>
      <c r="X8" s="92">
        <f>' P&amp;L'!AF24/' P&amp;L'!AE24-1</f>
        <v>-0.45654244522206866</v>
      </c>
      <c r="Y8" s="92">
        <f>' P&amp;L'!AG24/' P&amp;L'!AF24-1</f>
        <v>0.18511802247088815</v>
      </c>
      <c r="Z8" s="92">
        <f>' P&amp;L'!AH24/' P&amp;L'!AG24-1</f>
        <v>-0.30405991088352236</v>
      </c>
      <c r="AA8" s="92">
        <f>' P&amp;L'!AI24/' P&amp;L'!AH24-1</f>
        <v>1.6023759367334911E-2</v>
      </c>
    </row>
    <row r="9" spans="2:27" ht="15.5" customHeight="1" x14ac:dyDescent="0.2">
      <c r="B9" s="40" t="s">
        <v>8</v>
      </c>
      <c r="C9" s="79"/>
      <c r="D9" s="92">
        <f>' P&amp;L'!D29/' P&amp;L'!C29-1</f>
        <v>1.0089308497065579</v>
      </c>
      <c r="E9" s="92">
        <f>' P&amp;L'!E29/' P&amp;L'!D29-1</f>
        <v>1.6594690715102249</v>
      </c>
      <c r="F9" s="92">
        <f>' P&amp;L'!F29/' P&amp;L'!E29-1</f>
        <v>-0.80232113859967524</v>
      </c>
      <c r="G9" s="92">
        <f>' P&amp;L'!G29/' P&amp;L'!F29-1</f>
        <v>1.1679149553032135</v>
      </c>
      <c r="H9" s="92">
        <f>' P&amp;L'!H29/' P&amp;L'!G29-1</f>
        <v>-0.61094394293993093</v>
      </c>
      <c r="I9" s="92">
        <f>' P&amp;L'!I29/' P&amp;L'!H29-1</f>
        <v>6.3067888857061014</v>
      </c>
      <c r="K9" s="40" t="s">
        <v>8</v>
      </c>
      <c r="L9" s="79"/>
      <c r="M9" s="92">
        <f>' P&amp;L'!Q29/' P&amp;L'!P29-1</f>
        <v>5.9780513781791935</v>
      </c>
      <c r="N9" s="92">
        <f>' P&amp;L'!R29/' P&amp;L'!Q29-1</f>
        <v>4.0977277805658057</v>
      </c>
      <c r="O9" s="92">
        <f>' P&amp;L'!S29/' P&amp;L'!R29-1</f>
        <v>-0.80657529272333051</v>
      </c>
      <c r="P9" s="92">
        <f>' P&amp;L'!T29/' P&amp;L'!S29-1</f>
        <v>-1.6079748865374237</v>
      </c>
      <c r="Q9" s="92">
        <f>' P&amp;L'!U29/' P&amp;L'!T29-1</f>
        <v>-1.6464423854440624</v>
      </c>
      <c r="R9" s="92">
        <f>' P&amp;L'!V29/' P&amp;L'!U29-1</f>
        <v>2.4299226789506374</v>
      </c>
      <c r="T9" s="40" t="s">
        <v>8</v>
      </c>
      <c r="U9" s="92"/>
      <c r="V9" s="92">
        <f>' P&amp;L'!AD29/' P&amp;L'!AC29-1</f>
        <v>-11.675606705028846</v>
      </c>
      <c r="W9" s="92">
        <f>' P&amp;L'!AE29/' P&amp;L'!AD29-1</f>
        <v>0.58563313210094026</v>
      </c>
      <c r="X9" s="92">
        <f>' P&amp;L'!AF29/' P&amp;L'!AE29-1</f>
        <v>-0.41263471850262246</v>
      </c>
      <c r="Y9" s="92">
        <f>' P&amp;L'!AG29/' P&amp;L'!AF29-1</f>
        <v>0.49551721274556249</v>
      </c>
      <c r="Z9" s="92">
        <f>' P&amp;L'!AH29/' P&amp;L'!AG29-1</f>
        <v>-0.52119690677937602</v>
      </c>
      <c r="AA9" s="92">
        <f>' P&amp;L'!AI29/' P&amp;L'!AH29-1</f>
        <v>0.18104284388968095</v>
      </c>
    </row>
    <row r="10" spans="2:27" ht="15.5" customHeight="1" x14ac:dyDescent="0.2">
      <c r="B10" s="40" t="s">
        <v>9</v>
      </c>
      <c r="C10" s="79"/>
      <c r="D10" s="92">
        <f>' P&amp;L'!D43/' P&amp;L'!C43-1</f>
        <v>2.3482180828442623</v>
      </c>
      <c r="E10" s="137">
        <f>' P&amp;L'!E43/' P&amp;L'!D43-1</f>
        <v>1.6594690715102258</v>
      </c>
      <c r="F10" s="92">
        <f>' P&amp;L'!F43/' P&amp;L'!E43-1</f>
        <v>-0.80232113859967513</v>
      </c>
      <c r="G10" s="92">
        <f>' P&amp;L'!G43/' P&amp;L'!F43-1</f>
        <v>1.1428272459451749</v>
      </c>
      <c r="H10" s="92">
        <f>' P&amp;L'!H43/' P&amp;L'!G43-1</f>
        <v>-0.62650618522233359</v>
      </c>
      <c r="I10" s="92">
        <f>' P&amp;L'!I43/' P&amp;L'!H43-1</f>
        <v>2.044495369044208</v>
      </c>
      <c r="K10" s="40" t="s">
        <v>9</v>
      </c>
      <c r="L10" s="79"/>
      <c r="M10" s="92">
        <f>' P&amp;L'!Q43/' P&amp;L'!P43-1</f>
        <v>2.5509487645433326</v>
      </c>
      <c r="N10" s="92">
        <f>' P&amp;L'!R43/' P&amp;L'!Q43-1</f>
        <v>0.99783512157447074</v>
      </c>
      <c r="O10" s="92">
        <f>' P&amp;L'!S43/' P&amp;L'!R43-1</f>
        <v>-0.39596818363898401</v>
      </c>
      <c r="P10" s="92">
        <f>' P&amp;L'!T43/' P&amp;L'!S43-1</f>
        <v>0.20233407723399899</v>
      </c>
      <c r="Q10" s="92">
        <f>' P&amp;L'!U43/' P&amp;L'!T43-1</f>
        <v>-0.16154502482009014</v>
      </c>
      <c r="R10" s="92">
        <f>' P&amp;L'!V43/' P&amp;L'!U43-1</f>
        <v>0.20440033001321178</v>
      </c>
      <c r="T10" s="40" t="s">
        <v>9</v>
      </c>
      <c r="U10" s="92"/>
      <c r="V10" s="92">
        <f>IFERROR(' P&amp;L'!AD43/' P&amp;L'!AC43-1,0)</f>
        <v>0</v>
      </c>
      <c r="W10" s="92">
        <f>IFERROR(' P&amp;L'!AE43/' P&amp;L'!AD43-1,0)</f>
        <v>0</v>
      </c>
      <c r="X10" s="92">
        <f>IFERROR(' P&amp;L'!AF43/' P&amp;L'!AE43-1,0)</f>
        <v>-0.29516166220314688</v>
      </c>
      <c r="Y10" s="92">
        <f>IFERROR(' P&amp;L'!AG43/' P&amp;L'!AF43-1,0)</f>
        <v>-0.25224139362721887</v>
      </c>
      <c r="Z10" s="92">
        <f>IFERROR(' P&amp;L'!AH43/' P&amp;L'!AG43-1,0)</f>
        <v>0.11720721751478913</v>
      </c>
      <c r="AA10" s="92">
        <f>IFERROR(' P&amp;L'!AI43/' P&amp;L'!AH43-1,0)</f>
        <v>1.2322437619726623E-2</v>
      </c>
    </row>
    <row r="11" spans="2:27" ht="15.5" customHeight="1" x14ac:dyDescent="0.2">
      <c r="B11" s="40" t="s">
        <v>10</v>
      </c>
      <c r="C11" s="92">
        <f>' P&amp;L'!C44</f>
        <v>0.15</v>
      </c>
      <c r="D11" s="92">
        <f>' P&amp;L'!D44</f>
        <v>0.25</v>
      </c>
      <c r="E11" s="92">
        <f>' P&amp;L'!E44</f>
        <v>0.25</v>
      </c>
      <c r="F11" s="92">
        <f>' P&amp;L'!F44</f>
        <v>0.25</v>
      </c>
      <c r="G11" s="92">
        <f>' P&amp;L'!G44</f>
        <v>0.25</v>
      </c>
      <c r="H11" s="138">
        <f>' P&amp;L'!H44</f>
        <v>0.24</v>
      </c>
      <c r="I11" s="138">
        <f>' P&amp;L'!I44</f>
        <v>0.1</v>
      </c>
      <c r="K11" s="40" t="s">
        <v>10</v>
      </c>
      <c r="L11" s="92">
        <f>' P&amp;L'!P44</f>
        <v>0.74</v>
      </c>
      <c r="M11" s="92">
        <f>' P&amp;L'!Q44</f>
        <v>0.4</v>
      </c>
      <c r="N11" s="92">
        <f>' P&amp;L'!R44</f>
        <v>0.16</v>
      </c>
      <c r="O11" s="92">
        <f>' P&amp;L'!S44</f>
        <v>0.5</v>
      </c>
      <c r="P11" s="92">
        <f>' P&amp;L'!T44</f>
        <v>-1.01</v>
      </c>
      <c r="Q11" s="92">
        <f>' P&amp;L'!U44</f>
        <v>1.31</v>
      </c>
      <c r="R11" s="92">
        <f>' P&amp;L'!V44</f>
        <v>0.46</v>
      </c>
      <c r="T11" s="40" t="s">
        <v>10</v>
      </c>
      <c r="U11" s="92">
        <f>' P&amp;L'!AC44</f>
        <v>0</v>
      </c>
      <c r="V11" s="92">
        <f>' P&amp;L'!AD44</f>
        <v>0</v>
      </c>
      <c r="W11" s="92">
        <f>' P&amp;L'!AE44</f>
        <v>0.05</v>
      </c>
      <c r="X11" s="92">
        <f>' P&amp;L'!AF44</f>
        <v>0.06</v>
      </c>
      <c r="Y11" s="92">
        <f>' P&amp;L'!AG44</f>
        <v>0.03</v>
      </c>
      <c r="Z11" s="92">
        <f>' P&amp;L'!AH44</f>
        <v>7.0000000000000007E-2</v>
      </c>
      <c r="AA11" s="92">
        <f>' P&amp;L'!AI44</f>
        <v>0.06</v>
      </c>
    </row>
    <row r="12" spans="2:27" ht="15.5" customHeight="1" x14ac:dyDescent="0.2">
      <c r="B12" s="40" t="s">
        <v>11</v>
      </c>
      <c r="C12" s="92">
        <f>' P&amp;L'!C12</f>
        <v>0.46812863104492297</v>
      </c>
      <c r="D12" s="92">
        <f>' P&amp;L'!D12</f>
        <v>0.58847179949648665</v>
      </c>
      <c r="E12" s="92">
        <f>' P&amp;L'!E12</f>
        <v>0.57046819383621072</v>
      </c>
      <c r="F12" s="92">
        <f>' P&amp;L'!F12</f>
        <v>0.42172812725958064</v>
      </c>
      <c r="G12" s="92">
        <f>' P&amp;L'!G12</f>
        <v>0.45856713484109118</v>
      </c>
      <c r="H12" s="92">
        <f>' P&amp;L'!H12</f>
        <v>0.47182272662654601</v>
      </c>
      <c r="I12" s="92">
        <f>' P&amp;L'!I12</f>
        <v>0.50465304361891417</v>
      </c>
      <c r="K12" s="40" t="s">
        <v>11</v>
      </c>
      <c r="L12" s="118">
        <f>' P&amp;L'!P12</f>
        <v>0.58488499044999298</v>
      </c>
      <c r="M12" s="118">
        <f>' P&amp;L'!Q12</f>
        <v>0.6478672958523084</v>
      </c>
      <c r="N12" s="118">
        <f>' P&amp;L'!R12</f>
        <v>0.62667273380213573</v>
      </c>
      <c r="O12" s="118">
        <f>' P&amp;L'!S12</f>
        <v>0.52087157943477014</v>
      </c>
      <c r="P12" s="118">
        <f>' P&amp;L'!T12</f>
        <v>0.57452520779481575</v>
      </c>
      <c r="Q12" s="118">
        <f>' P&amp;L'!U12</f>
        <v>0.56485674114386264</v>
      </c>
      <c r="R12" s="118">
        <f>' P&amp;L'!V12</f>
        <v>0.60098176126003988</v>
      </c>
      <c r="T12" s="40" t="s">
        <v>11</v>
      </c>
      <c r="U12" s="118">
        <f>' P&amp;L'!AC12</f>
        <v>0.70022353077365063</v>
      </c>
      <c r="V12" s="118">
        <f>' P&amp;L'!AD12</f>
        <v>0.68609180743169973</v>
      </c>
      <c r="W12" s="118">
        <f>' P&amp;L'!AE12</f>
        <v>0.58411621549148995</v>
      </c>
      <c r="X12" s="118">
        <f>' P&amp;L'!AF12</f>
        <v>0.53314131977436463</v>
      </c>
      <c r="Y12" s="118">
        <f>' P&amp;L'!AG12</f>
        <v>0.56178411242700488</v>
      </c>
      <c r="Z12" s="118">
        <f>' P&amp;L'!AH12</f>
        <v>0.5512688749310275</v>
      </c>
      <c r="AA12" s="118">
        <f>' P&amp;L'!AI12</f>
        <v>0.50584165889531074</v>
      </c>
    </row>
    <row r="13" spans="2:27" ht="15.5" customHeight="1" x14ac:dyDescent="0.2">
      <c r="B13" s="40" t="s">
        <v>12</v>
      </c>
      <c r="C13" s="92">
        <f>' P&amp;L'!C20</f>
        <v>0.1031966833046941</v>
      </c>
      <c r="D13" s="92">
        <f>' P&amp;L'!D20</f>
        <v>0.19412818296822354</v>
      </c>
      <c r="E13" s="92">
        <f>' P&amp;L'!E20</f>
        <v>0.22622650661674784</v>
      </c>
      <c r="F13" s="92">
        <f>' P&amp;L'!F20</f>
        <v>6.6256929380573634E-2</v>
      </c>
      <c r="G13" s="92">
        <f>' P&amp;L'!G20</f>
        <v>0.11419608470566724</v>
      </c>
      <c r="H13" s="92">
        <f>' P&amp;L'!H20</f>
        <v>7.9467374306970567E-2</v>
      </c>
      <c r="I13" s="92">
        <f>' P&amp;L'!I20</f>
        <v>0.10709548714077749</v>
      </c>
      <c r="K13" s="40" t="s">
        <v>12</v>
      </c>
      <c r="L13" s="118">
        <f>' P&amp;L'!P20</f>
        <v>6.4529725179368821E-2</v>
      </c>
      <c r="M13" s="118">
        <f>' P&amp;L'!Q20</f>
        <v>0.13593413489743564</v>
      </c>
      <c r="N13" s="118">
        <f>' P&amp;L'!R20</f>
        <v>0.22294337204049353</v>
      </c>
      <c r="O13" s="118">
        <f>' P&amp;L'!S20</f>
        <v>9.4369041081896407E-2</v>
      </c>
      <c r="P13" s="118">
        <f>' P&amp;L'!T20</f>
        <v>5.3958711490182179E-2</v>
      </c>
      <c r="Q13" s="118">
        <f>' P&amp;L'!U20</f>
        <v>6.8074261616195453E-2</v>
      </c>
      <c r="R13" s="118">
        <f>' P&amp;L'!V20</f>
        <v>9.648460320959848E-2</v>
      </c>
      <c r="T13" s="40" t="s">
        <v>12</v>
      </c>
      <c r="U13" s="118">
        <f>' P&amp;L'!AC20</f>
        <v>8.9712389701393863E-2</v>
      </c>
      <c r="V13" s="118">
        <f>' P&amp;L'!AD20</f>
        <v>0.30922412222482498</v>
      </c>
      <c r="W13" s="118">
        <f>' P&amp;L'!AE20</f>
        <v>0.26310899267555332</v>
      </c>
      <c r="X13" s="118">
        <f>' P&amp;L'!AF20</f>
        <v>0.13626729700636245</v>
      </c>
      <c r="Y13" s="118">
        <f>' P&amp;L'!AG20</f>
        <v>0.14655725561494576</v>
      </c>
      <c r="Z13" s="118">
        <f>' P&amp;L'!AH20</f>
        <v>0.13406981156089151</v>
      </c>
      <c r="AA13" s="118">
        <f>' P&amp;L'!AI20</f>
        <v>0.12220855544445433</v>
      </c>
    </row>
    <row r="14" spans="2:27" ht="15.5" customHeight="1" x14ac:dyDescent="0.2">
      <c r="B14" s="40" t="s">
        <v>13</v>
      </c>
      <c r="C14" s="92">
        <f>' P&amp;L'!C26</f>
        <v>4.1090472683632001E-2</v>
      </c>
      <c r="D14" s="92">
        <f>' P&amp;L'!D26</f>
        <v>0.15049036185322962</v>
      </c>
      <c r="E14" s="92">
        <f>' P&amp;L'!E26</f>
        <v>0.20321648413961782</v>
      </c>
      <c r="F14" s="92">
        <f>' P&amp;L'!F26</f>
        <v>3.4074475777295735E-2</v>
      </c>
      <c r="G14" s="92">
        <f>' P&amp;L'!G26</f>
        <v>7.645452155926083E-2</v>
      </c>
      <c r="H14" s="92">
        <f>' P&amp;L'!H26</f>
        <v>3.007273847320286E-2</v>
      </c>
      <c r="I14" s="92">
        <f>' P&amp;L'!I26</f>
        <v>0.15770744594813177</v>
      </c>
      <c r="K14" s="40" t="s">
        <v>13</v>
      </c>
      <c r="L14" s="118">
        <f>' P&amp;L'!P26</f>
        <v>-9.975635948937427E-3</v>
      </c>
      <c r="M14" s="118">
        <f>' P&amp;L'!Q26</f>
        <v>8.8470859050572129E-2</v>
      </c>
      <c r="N14" s="118">
        <f>' P&amp;L'!R26</f>
        <v>0.20588227939945855</v>
      </c>
      <c r="O14" s="118">
        <f>' P&amp;L'!S26</f>
        <v>7.4932888557755428E-2</v>
      </c>
      <c r="P14" s="118">
        <f>' P&amp;L'!T26</f>
        <v>-5.0051756161932437E-3</v>
      </c>
      <c r="Q14" s="118">
        <f>' P&amp;L'!U26</f>
        <v>3.8495348113280176E-2</v>
      </c>
      <c r="R14" s="118">
        <f>' P&amp;L'!V26</f>
        <v>6.8789067490928099E-2</v>
      </c>
      <c r="T14" s="40" t="s">
        <v>13</v>
      </c>
      <c r="U14" s="118">
        <f>' P&amp;L'!AC26</f>
        <v>-7.6799973841862263E-3</v>
      </c>
      <c r="V14" s="118">
        <f>' P&amp;L'!AD26</f>
        <v>0.17576759237569731</v>
      </c>
      <c r="W14" s="118">
        <f>' P&amp;L'!AE26</f>
        <v>0.18939448426717609</v>
      </c>
      <c r="X14" s="118">
        <f>' P&amp;L'!AF26</f>
        <v>9.897048609023E-2</v>
      </c>
      <c r="Y14" s="118">
        <f>' P&amp;L'!AG26</f>
        <v>0.12394674154915809</v>
      </c>
      <c r="Z14" s="118">
        <f>' P&amp;L'!AH26</f>
        <v>8.6648037270495554E-2</v>
      </c>
      <c r="AA14" s="118">
        <f>' P&amp;L'!AI26</f>
        <v>8.2558458212865421E-2</v>
      </c>
    </row>
    <row r="15" spans="2:27" ht="15.5" customHeight="1" x14ac:dyDescent="0.2">
      <c r="B15" s="40" t="s">
        <v>14</v>
      </c>
      <c r="C15" s="92">
        <f>' P&amp;L'!C31</f>
        <v>5.3446253716280721E-2</v>
      </c>
      <c r="D15" s="92">
        <f>' P&amp;L'!D31</f>
        <v>9.861095454602388E-2</v>
      </c>
      <c r="E15" s="92">
        <f>' P&amp;L'!E31</f>
        <v>0.14304746158733628</v>
      </c>
      <c r="F15" s="92">
        <f>' P&amp;L'!F31</f>
        <v>2.4939744516751024E-2</v>
      </c>
      <c r="G15" s="92">
        <f>' P&amp;L'!G31</f>
        <v>5.1272527799046889E-2</v>
      </c>
      <c r="H15" s="138">
        <f>' P&amp;L'!H31</f>
        <v>2.0678339572572622E-2</v>
      </c>
      <c r="I15" s="138">
        <f>' P&amp;L'!I31</f>
        <v>0.13753167628187848</v>
      </c>
      <c r="K15" s="40" t="s">
        <v>14</v>
      </c>
      <c r="L15" s="118">
        <f>' P&amp;L'!P31</f>
        <v>8.3942076998697792E-3</v>
      </c>
      <c r="M15" s="118">
        <f>' P&amp;L'!Q31</f>
        <v>5.2338484662960885E-2</v>
      </c>
      <c r="N15" s="118">
        <f>' P&amp;L'!R31</f>
        <v>0.17113240711550218</v>
      </c>
      <c r="O15" s="118">
        <f>' P&amp;L'!S31</f>
        <v>3.3183730165464789E-2</v>
      </c>
      <c r="P15" s="118">
        <f>' P&amp;L'!T31</f>
        <v>-2.1423368197289315E-2</v>
      </c>
      <c r="Q15" s="118">
        <f>' P&amp;L'!U31</f>
        <v>1.45224835204831E-2</v>
      </c>
      <c r="R15" s="118">
        <f>' P&amp;L'!V31</f>
        <v>4.6893352346003017E-2</v>
      </c>
      <c r="T15" s="40" t="s">
        <v>14</v>
      </c>
      <c r="U15" s="118">
        <f>' P&amp;L'!AC31</f>
        <v>-1.0539725165525296E-2</v>
      </c>
      <c r="V15" s="118">
        <f>' P&amp;L'!AD31</f>
        <v>0.12340010815844346</v>
      </c>
      <c r="W15" s="118">
        <f>' P&amp;L'!AE31</f>
        <v>0.13223639927107328</v>
      </c>
      <c r="X15" s="118">
        <f>' P&amp;L'!AF31</f>
        <v>7.4684767508990432E-2</v>
      </c>
      <c r="Y15" s="118">
        <f>' P&amp;L'!AG31</f>
        <v>0.11802968754499363</v>
      </c>
      <c r="Z15" s="118">
        <f>' P&amp;L'!AH31</f>
        <v>5.676752580260476E-2</v>
      </c>
      <c r="AA15" s="118">
        <f>' P&amp;L'!AI31</f>
        <v>6.2873060161986974E-2</v>
      </c>
    </row>
    <row r="16" spans="2:27" ht="15.5" customHeight="1" x14ac:dyDescent="0.2">
      <c r="B16" s="40"/>
      <c r="C16" s="40"/>
      <c r="D16" s="40"/>
      <c r="E16" s="40"/>
      <c r="F16" s="40"/>
      <c r="G16" s="40"/>
      <c r="H16" s="40"/>
      <c r="I16" s="40"/>
      <c r="K16" s="40"/>
      <c r="L16" s="40"/>
      <c r="M16" s="118"/>
      <c r="N16" s="118"/>
      <c r="O16" s="118"/>
      <c r="P16" s="118"/>
      <c r="Q16" s="118"/>
      <c r="R16" s="118"/>
      <c r="T16" s="40"/>
      <c r="U16" s="40"/>
      <c r="V16" s="40"/>
      <c r="W16" s="40"/>
      <c r="X16" s="40"/>
      <c r="Y16" s="40"/>
      <c r="Z16" s="40"/>
      <c r="AA16" s="40"/>
    </row>
    <row r="17" spans="2:27" ht="15.5" customHeight="1" x14ac:dyDescent="0.2">
      <c r="B17" s="18" t="s">
        <v>15</v>
      </c>
      <c r="C17" s="77">
        <v>43921</v>
      </c>
      <c r="D17" s="77">
        <v>44286</v>
      </c>
      <c r="E17" s="77">
        <v>44651</v>
      </c>
      <c r="F17" s="77">
        <v>45016</v>
      </c>
      <c r="G17" s="77">
        <v>45382</v>
      </c>
      <c r="H17" s="77">
        <v>45747</v>
      </c>
      <c r="I17" s="77">
        <v>46112</v>
      </c>
      <c r="K17" s="18" t="s">
        <v>15</v>
      </c>
      <c r="L17" s="77">
        <v>43921</v>
      </c>
      <c r="M17" s="77">
        <v>44286</v>
      </c>
      <c r="N17" s="77">
        <v>44651</v>
      </c>
      <c r="O17" s="77">
        <v>45016</v>
      </c>
      <c r="P17" s="77">
        <v>45382</v>
      </c>
      <c r="Q17" s="77">
        <v>45747</v>
      </c>
      <c r="R17" s="77">
        <v>46112</v>
      </c>
      <c r="T17" s="18" t="s">
        <v>15</v>
      </c>
      <c r="U17" s="77">
        <v>43921</v>
      </c>
      <c r="V17" s="77">
        <v>44286</v>
      </c>
      <c r="W17" s="77">
        <v>44651</v>
      </c>
      <c r="X17" s="77">
        <v>45016</v>
      </c>
      <c r="Y17" s="77">
        <v>45382</v>
      </c>
      <c r="Z17" s="77">
        <v>45747</v>
      </c>
      <c r="AA17" s="77">
        <v>46112</v>
      </c>
    </row>
    <row r="18" spans="2:27" ht="15.5" customHeight="1" x14ac:dyDescent="0.2">
      <c r="B18" s="40" t="s">
        <v>16</v>
      </c>
      <c r="C18" s="107">
        <v>22.424856121975839</v>
      </c>
      <c r="D18" s="107">
        <v>20.50864865541903</v>
      </c>
      <c r="E18" s="107">
        <v>18.5952476925074</v>
      </c>
      <c r="F18" s="107">
        <v>15.68998553868402</v>
      </c>
      <c r="G18" s="107">
        <v>15.74243168805641</v>
      </c>
      <c r="H18" s="107">
        <v>18.193355210159691</v>
      </c>
      <c r="I18" s="107">
        <v>22.1593788752898</v>
      </c>
      <c r="J18" t="s">
        <v>133</v>
      </c>
      <c r="K18" s="40" t="s">
        <v>16</v>
      </c>
      <c r="L18" s="107">
        <v>20.584044532607521</v>
      </c>
      <c r="M18" s="107">
        <v>22.252680578792852</v>
      </c>
      <c r="N18" s="107">
        <v>18.32252073164538</v>
      </c>
      <c r="O18" s="107">
        <v>12.38487480865734</v>
      </c>
      <c r="P18" s="107">
        <v>9.9759159959223425</v>
      </c>
      <c r="Q18" s="107">
        <v>8.7851187395989907</v>
      </c>
      <c r="R18" s="107">
        <v>7.7309611176775528</v>
      </c>
      <c r="T18" s="40" t="s">
        <v>16</v>
      </c>
      <c r="U18" s="107">
        <v>34.160625727951683</v>
      </c>
      <c r="V18" s="107">
        <v>29.496484850588079</v>
      </c>
      <c r="W18" s="107">
        <v>9.0174881033443519</v>
      </c>
      <c r="X18" s="107">
        <v>6.6842959945515563</v>
      </c>
      <c r="Y18" s="107">
        <v>12.0656088985184</v>
      </c>
      <c r="Z18" s="107">
        <v>9.9235616910565732</v>
      </c>
      <c r="AA18" s="107">
        <v>11.80594464300246</v>
      </c>
    </row>
    <row r="19" spans="2:27" ht="15.5" customHeight="1" x14ac:dyDescent="0.2">
      <c r="B19" s="40" t="s">
        <v>17</v>
      </c>
      <c r="C19" s="107">
        <v>16.27658157602664</v>
      </c>
      <c r="D19" s="107">
        <v>17.797369594293361</v>
      </c>
      <c r="E19" s="107">
        <v>19.62867104733807</v>
      </c>
      <c r="F19" s="107">
        <v>23.263246425567701</v>
      </c>
      <c r="G19" s="107">
        <v>23.185744568097508</v>
      </c>
      <c r="H19" s="107">
        <v>20.062269756387401</v>
      </c>
      <c r="I19" s="107">
        <v>16.47158081705151</v>
      </c>
      <c r="K19" s="40" t="s">
        <v>17</v>
      </c>
      <c r="L19" s="107">
        <v>17.732180836559959</v>
      </c>
      <c r="M19" s="107">
        <v>16.402518281229039</v>
      </c>
      <c r="N19" s="107">
        <v>19.920839787595241</v>
      </c>
      <c r="O19" s="107">
        <v>29.471432343010498</v>
      </c>
      <c r="P19" s="107">
        <v>36.588118840334452</v>
      </c>
      <c r="Q19" s="107">
        <v>41.547531777204057</v>
      </c>
      <c r="R19" s="107">
        <v>47.212758471310117</v>
      </c>
      <c r="T19" s="40" t="s">
        <v>17</v>
      </c>
      <c r="U19" s="107">
        <v>10.684815989811961</v>
      </c>
      <c r="V19" s="107">
        <v>12.37435585456628</v>
      </c>
      <c r="W19" s="107">
        <v>40.476903968925782</v>
      </c>
      <c r="X19" s="107">
        <v>54.60560099336049</v>
      </c>
      <c r="Y19" s="107">
        <v>30.251270621312798</v>
      </c>
      <c r="Z19" s="107">
        <v>36.781148882154831</v>
      </c>
      <c r="AA19" s="107">
        <v>30.91662810873337</v>
      </c>
    </row>
    <row r="20" spans="2:27" ht="15.5" customHeight="1" x14ac:dyDescent="0.2">
      <c r="B20" s="140" t="s">
        <v>18</v>
      </c>
      <c r="C20" s="107">
        <v>68.55883315604288</v>
      </c>
      <c r="D20" s="107">
        <v>65.14216109921216</v>
      </c>
      <c r="E20" s="107">
        <v>84.253404021288375</v>
      </c>
      <c r="F20" s="107">
        <v>72.874638467100496</v>
      </c>
      <c r="G20" s="107">
        <v>78.868581648629188</v>
      </c>
      <c r="H20" s="107">
        <v>75.5753921243425</v>
      </c>
      <c r="I20" s="107">
        <v>64.480643769881922</v>
      </c>
      <c r="K20" s="40" t="s">
        <v>18</v>
      </c>
      <c r="L20" s="107">
        <v>81.106812386078502</v>
      </c>
      <c r="M20" s="107">
        <v>77.620657679639393</v>
      </c>
      <c r="N20" s="107">
        <v>73.048708724496805</v>
      </c>
      <c r="O20" s="107">
        <v>81.616502574925306</v>
      </c>
      <c r="P20" s="107">
        <v>78.293101546366429</v>
      </c>
      <c r="Q20" s="107">
        <v>74.472138624197186</v>
      </c>
      <c r="R20" s="107">
        <v>74.291245616760293</v>
      </c>
      <c r="T20" s="40" t="s">
        <v>18</v>
      </c>
      <c r="U20" s="107">
        <v>61.297036193421491</v>
      </c>
      <c r="V20" s="107">
        <v>62.727213705467783</v>
      </c>
      <c r="W20" s="107">
        <v>51.942991429404579</v>
      </c>
      <c r="X20" s="107">
        <v>40.379878266961747</v>
      </c>
      <c r="Y20" s="107">
        <v>51.301127308509983</v>
      </c>
      <c r="Z20" s="107">
        <v>40.849492086961817</v>
      </c>
      <c r="AA20" s="107">
        <v>54.781017063933398</v>
      </c>
    </row>
    <row r="21" spans="2:27" ht="15.5" customHeight="1" x14ac:dyDescent="0.2">
      <c r="B21" s="40" t="s">
        <v>19</v>
      </c>
      <c r="C21" s="108">
        <f>' P&amp;L'!C6/'BALANCE SHEET'!C17</f>
        <v>2.8316270964931372</v>
      </c>
      <c r="D21" s="108">
        <f>' P&amp;L'!D6/'BALANCE SHEET'!D17</f>
        <v>2.3058460242824057</v>
      </c>
      <c r="E21" s="108">
        <f>' P&amp;L'!E6/'BALANCE SHEET'!E17</f>
        <v>1.8608044514162252</v>
      </c>
      <c r="F21" s="108">
        <f>' P&amp;L'!F6/'BALANCE SHEET'!F17</f>
        <v>2.896333182435491</v>
      </c>
      <c r="G21" s="108">
        <f>' P&amp;L'!G6/'BALANCE SHEET'!G17</f>
        <v>2.5057252413063598</v>
      </c>
      <c r="H21" s="108">
        <f>' P&amp;L'!H6/'BALANCE SHEET'!H17</f>
        <v>2.5508925506350839</v>
      </c>
      <c r="I21" s="108">
        <f>' P&amp;L'!I6/'BALANCE SHEET'!I17</f>
        <v>2.8039676484053104</v>
      </c>
      <c r="K21" s="40" t="s">
        <v>19</v>
      </c>
      <c r="L21" s="108">
        <f>' P&amp;L'!P6/'BALANCE SHEET'!C36</f>
        <v>1.868116549378281</v>
      </c>
      <c r="M21" s="108">
        <f>' P&amp;L'!Q6/'BALANCE SHEET'!D36</f>
        <v>1.6558534912751928</v>
      </c>
      <c r="N21" s="108">
        <f>' P&amp;L'!R6/'BALANCE SHEET'!E36</f>
        <v>1.8653916618313104</v>
      </c>
      <c r="O21" s="108">
        <f>' P&amp;L'!S6/'BALANCE SHEET'!F36</f>
        <v>2.1427268749449837</v>
      </c>
      <c r="P21" s="108">
        <f>' P&amp;L'!T6/'BALANCE SHEET'!G36</f>
        <v>1.9835502245740271</v>
      </c>
      <c r="Q21" s="108">
        <f>' P&amp;L'!U6/'BALANCE SHEET'!H36</f>
        <v>2.1327075120531669</v>
      </c>
      <c r="R21" s="108">
        <f>' P&amp;L'!V6/'BALANCE SHEET'!I36</f>
        <v>1.9604147962654201</v>
      </c>
      <c r="T21" s="40" t="s">
        <v>19</v>
      </c>
      <c r="U21" s="108">
        <v>5.954610902364843</v>
      </c>
      <c r="V21" s="108">
        <v>5.8188460548213996</v>
      </c>
      <c r="W21" s="108">
        <v>7.026934528714416</v>
      </c>
      <c r="X21" s="108">
        <v>9.0391555315469567</v>
      </c>
      <c r="Y21" s="108">
        <v>7.1148533989320892</v>
      </c>
      <c r="Z21" s="108">
        <v>8.9352396162717334</v>
      </c>
      <c r="AA21" s="108">
        <v>6.6628919936630364</v>
      </c>
    </row>
    <row r="22" spans="2:27" ht="15.5" customHeight="1" x14ac:dyDescent="0.2">
      <c r="B22" s="140" t="s">
        <v>20</v>
      </c>
      <c r="C22" s="108">
        <v>0.55625853436504324</v>
      </c>
      <c r="D22" s="108">
        <v>0.54252087820987616</v>
      </c>
      <c r="E22" s="108">
        <v>0.74494745145939889</v>
      </c>
      <c r="F22" s="108">
        <v>0.7882625071839422</v>
      </c>
      <c r="G22" s="108">
        <v>0.7679137157851319</v>
      </c>
      <c r="H22" s="108">
        <v>0.70213146457609843</v>
      </c>
      <c r="I22" s="108">
        <v>0.6877971356310586</v>
      </c>
      <c r="K22" s="40" t="s">
        <v>20</v>
      </c>
      <c r="L22" s="108">
        <v>0.56117657569892276</v>
      </c>
      <c r="M22" s="108">
        <v>0.64153958282588697</v>
      </c>
      <c r="N22" s="108">
        <v>0.86381179602825808</v>
      </c>
      <c r="O22" s="108">
        <v>0.85268496261577509</v>
      </c>
      <c r="P22" s="108">
        <v>0.85094768373474949</v>
      </c>
      <c r="Q22" s="108">
        <v>0.79337702967901746</v>
      </c>
      <c r="R22" s="108">
        <v>0.78289542687642188</v>
      </c>
      <c r="T22" s="40" t="s">
        <v>20</v>
      </c>
      <c r="U22" s="108">
        <v>0.42258040971920052</v>
      </c>
      <c r="V22" s="108">
        <v>0.44422801878149959</v>
      </c>
      <c r="W22" s="108">
        <v>0.66757928978750203</v>
      </c>
      <c r="X22" s="108">
        <v>0.76643587825698933</v>
      </c>
      <c r="Y22" s="108">
        <v>0.6400227616975589</v>
      </c>
      <c r="Z22" s="108">
        <v>0.58448418270999902</v>
      </c>
      <c r="AA22" s="108">
        <v>0.54749713575898129</v>
      </c>
    </row>
    <row r="23" spans="2:27" ht="15.5" customHeight="1" x14ac:dyDescent="0.2">
      <c r="B23" s="40"/>
      <c r="C23" s="109"/>
      <c r="D23" s="109"/>
      <c r="E23" s="109"/>
      <c r="F23" s="109"/>
      <c r="G23" s="109"/>
      <c r="H23" s="109"/>
      <c r="I23" s="109"/>
      <c r="K23" s="40"/>
      <c r="L23" s="109"/>
      <c r="M23" s="109"/>
      <c r="N23" s="109"/>
      <c r="O23" s="109"/>
      <c r="P23" s="109"/>
      <c r="Q23" s="109"/>
      <c r="R23" s="109"/>
      <c r="T23" s="40"/>
      <c r="U23" s="109"/>
      <c r="V23" s="109"/>
      <c r="W23" s="109"/>
      <c r="X23" s="109"/>
      <c r="Y23" s="109"/>
      <c r="Z23" s="109"/>
      <c r="AA23" s="109"/>
    </row>
    <row r="24" spans="2:27" ht="15.5" customHeight="1" x14ac:dyDescent="0.2">
      <c r="B24" s="18" t="s">
        <v>21</v>
      </c>
      <c r="C24" s="77">
        <v>43921</v>
      </c>
      <c r="D24" s="77">
        <v>44286</v>
      </c>
      <c r="E24" s="77">
        <v>44651</v>
      </c>
      <c r="F24" s="77">
        <v>45016</v>
      </c>
      <c r="G24" s="77">
        <v>45382</v>
      </c>
      <c r="H24" s="77">
        <v>45747</v>
      </c>
      <c r="I24" s="77">
        <v>46112</v>
      </c>
      <c r="K24" s="18" t="s">
        <v>21</v>
      </c>
      <c r="L24" s="77">
        <v>43921</v>
      </c>
      <c r="M24" s="77">
        <v>44286</v>
      </c>
      <c r="N24" s="77">
        <v>44651</v>
      </c>
      <c r="O24" s="77">
        <v>45016</v>
      </c>
      <c r="P24" s="77">
        <v>45382</v>
      </c>
      <c r="Q24" s="77">
        <v>45747</v>
      </c>
      <c r="R24" s="77">
        <v>46112</v>
      </c>
      <c r="T24" s="18" t="s">
        <v>21</v>
      </c>
      <c r="U24" s="77">
        <v>43921</v>
      </c>
      <c r="V24" s="77">
        <v>44286</v>
      </c>
      <c r="W24" s="77">
        <v>44651</v>
      </c>
      <c r="X24" s="77">
        <v>45016</v>
      </c>
      <c r="Y24" s="77">
        <v>45382</v>
      </c>
      <c r="Z24" s="77">
        <v>45747</v>
      </c>
      <c r="AA24" s="77">
        <v>46112</v>
      </c>
    </row>
    <row r="25" spans="2:27" ht="15.5" customHeight="1" x14ac:dyDescent="0.2">
      <c r="B25" s="40" t="s">
        <v>22</v>
      </c>
      <c r="C25" s="79">
        <f>('BALANCE SHEET'!C5)/('BALANCE SHEET'!C3+'BALANCE SHEET'!C4)</f>
        <v>1.6782698980846471</v>
      </c>
      <c r="D25" s="79">
        <f>('BALANCE SHEET'!D5)/('BALANCE SHEET'!D3+'BALANCE SHEET'!D4)</f>
        <v>1.4629905722429293</v>
      </c>
      <c r="E25" s="79">
        <f>('BALANCE SHEET'!E5)/('BALANCE SHEET'!E3+'BALANCE SHEET'!E4)</f>
        <v>1.0734059467732588</v>
      </c>
      <c r="F25" s="79">
        <f>('BALANCE SHEET'!F5)/('BALANCE SHEET'!F3+'BALANCE SHEET'!F4)</f>
        <v>1.2307329324910572</v>
      </c>
      <c r="G25" s="79">
        <f>('BALANCE SHEET'!G5)/('BALANCE SHEET'!G3+'BALANCE SHEET'!G4)</f>
        <v>1.1328071688833383</v>
      </c>
      <c r="H25" s="79">
        <f>('BALANCE SHEET'!H5)/('BALANCE SHEET'!H3+'BALANCE SHEET'!H4)</f>
        <v>1.2422260239508907</v>
      </c>
      <c r="I25" s="79">
        <f>('BALANCE SHEET'!I5)/('BALANCE SHEET'!I3+'BALANCE SHEET'!I4)</f>
        <v>0.99257393581401854</v>
      </c>
      <c r="K25" s="40" t="s">
        <v>22</v>
      </c>
      <c r="L25" s="79">
        <f>'BALANCE SHEET'!C24/('BALANCE SHEET'!C22+'BALANCE SHEET'!C23)</f>
        <v>1.5810553126482303</v>
      </c>
      <c r="M25" s="79">
        <f>'BALANCE SHEET'!D24/('BALANCE SHEET'!D22+'BALANCE SHEET'!D23)</f>
        <v>1.1921184847216622</v>
      </c>
      <c r="N25" s="79">
        <f>'BALANCE SHEET'!E24/('BALANCE SHEET'!E22+'BALANCE SHEET'!E23)</f>
        <v>0.6602529083463704</v>
      </c>
      <c r="O25" s="79">
        <f>'BALANCE SHEET'!F24/('BALANCE SHEET'!F22+'BALANCE SHEET'!F23)</f>
        <v>0.82354792927191045</v>
      </c>
      <c r="P25" s="79">
        <f>'BALANCE SHEET'!G24/('BALANCE SHEET'!G22+'BALANCE SHEET'!G23)</f>
        <v>0.946177007719608</v>
      </c>
      <c r="Q25" s="79">
        <f>'BALANCE SHEET'!H24/('BALANCE SHEET'!H22+'BALANCE SHEET'!H23)</f>
        <v>1.0398314658071992</v>
      </c>
      <c r="R25" s="79">
        <f>'BALANCE SHEET'!I24/('BALANCE SHEET'!I22+'BALANCE SHEET'!I23)</f>
        <v>0.90421654995490242</v>
      </c>
      <c r="T25" s="40" t="s">
        <v>22</v>
      </c>
      <c r="U25" s="79">
        <f>'BALANCE SHEET'!C43/('BALANCE SHEET'!C41+'BALANCE SHEET'!C42)</f>
        <v>1.1458508753423611</v>
      </c>
      <c r="V25" s="79">
        <f>'BALANCE SHEET'!D43/('BALANCE SHEET'!D41+'BALANCE SHEET'!D42)</f>
        <v>0.94012259124485653</v>
      </c>
      <c r="W25" s="79">
        <f>'BALANCE SHEET'!E43/('BALANCE SHEET'!E41+'BALANCE SHEET'!E42)</f>
        <v>0.37899702060314405</v>
      </c>
      <c r="X25" s="79">
        <f>'BALANCE SHEET'!F43/('BALANCE SHEET'!F41+'BALANCE SHEET'!F42)</f>
        <v>0.33705655806931067</v>
      </c>
      <c r="Y25" s="79">
        <f>'BALANCE SHEET'!G43/('BALANCE SHEET'!G41+'BALANCE SHEET'!G42)</f>
        <v>0.37169727148269893</v>
      </c>
      <c r="Z25" s="79">
        <f>'BALANCE SHEET'!H43/('BALANCE SHEET'!H41+'BALANCE SHEET'!H42)</f>
        <v>0.39008428123585359</v>
      </c>
      <c r="AA25" s="79">
        <f>'BALANCE SHEET'!I43/('BALANCE SHEET'!I41+'BALANCE SHEET'!I42)</f>
        <v>0.4442049937808098</v>
      </c>
    </row>
    <row r="26" spans="2:27" ht="15.5" customHeight="1" x14ac:dyDescent="0.2">
      <c r="B26" s="40" t="s">
        <v>23</v>
      </c>
      <c r="C26" s="79">
        <f>'BALANCE SHEET'!C5/'BALANCE SHEET'!C13</f>
        <v>0.46596115915642544</v>
      </c>
      <c r="D26" s="79">
        <f>'BALANCE SHEET'!D5/'BALANCE SHEET'!D13</f>
        <v>0.45342239557497471</v>
      </c>
      <c r="E26" s="79">
        <f>'BALANCE SHEET'!E5/'BALANCE SHEET'!E13</f>
        <v>0.36764638522024584</v>
      </c>
      <c r="F26" s="79">
        <f>'BALANCE SHEET'!F5/'BALANCE SHEET'!F13</f>
        <v>0.38402861227611035</v>
      </c>
      <c r="G26" s="79">
        <f>'BALANCE SHEET'!G5/'BALANCE SHEET'!G13</f>
        <v>0.38606745122818104</v>
      </c>
      <c r="H26" s="79">
        <f>'BALANCE SHEET'!H5/'BALANCE SHEET'!H13</f>
        <v>0.41070515086610243</v>
      </c>
      <c r="I26" s="79">
        <f>'BALANCE SHEET'!I5/'BALANCE SHEET'!I13</f>
        <v>0.36828130446713986</v>
      </c>
      <c r="K26" s="40" t="s">
        <v>23</v>
      </c>
      <c r="L26" s="79">
        <f>'BALANCE SHEET'!C24/'BALANCE SHEET'!C32</f>
        <v>0.46690190998868469</v>
      </c>
      <c r="M26" s="79">
        <f>'BALANCE SHEET'!D24/'BALANCE SHEET'!D32</f>
        <v>0.36284573779282364</v>
      </c>
      <c r="N26" s="79">
        <f>'BALANCE SHEET'!E24/'BALANCE SHEET'!E32</f>
        <v>0.26754798950094733</v>
      </c>
      <c r="O26" s="79">
        <f>'BALANCE SHEET'!F24/'BALANCE SHEET'!F32</f>
        <v>0.2974572714424859</v>
      </c>
      <c r="P26" s="79">
        <f>'BALANCE SHEET'!G24/'BALANCE SHEET'!G32</f>
        <v>0.32334981060286783</v>
      </c>
      <c r="Q26" s="79">
        <f>'BALANCE SHEET'!H24/'BALANCE SHEET'!H32</f>
        <v>0.34415718689902486</v>
      </c>
      <c r="R26" s="79">
        <f>'BALANCE SHEET'!I24/'BALANCE SHEET'!I32</f>
        <v>0.31155860038199801</v>
      </c>
      <c r="T26" s="40" t="s">
        <v>23</v>
      </c>
      <c r="U26" s="79">
        <f>'BALANCE SHEET'!C43/'BALANCE SHEET'!C51</f>
        <v>0.41033619171413149</v>
      </c>
      <c r="V26" s="79">
        <f>'BALANCE SHEET'!D43/'BALANCE SHEET'!D51</f>
        <v>0.38424363791412769</v>
      </c>
      <c r="W26" s="79">
        <f>'BALANCE SHEET'!E43/'BALANCE SHEET'!E51</f>
        <v>0.17616148732169731</v>
      </c>
      <c r="X26" s="79">
        <f>'BALANCE SHEET'!F43/'BALANCE SHEET'!F51</f>
        <v>0.18791344548817518</v>
      </c>
      <c r="Y26" s="79">
        <f>'BALANCE SHEET'!G43/'BALANCE SHEET'!G51</f>
        <v>0.20936669021047452</v>
      </c>
      <c r="Z26" s="79">
        <f>'BALANCE SHEET'!H43/'BALANCE SHEET'!H51</f>
        <v>0.21460902058213524</v>
      </c>
      <c r="AA26" s="79">
        <f>'BALANCE SHEET'!I43/'BALANCE SHEET'!I51</f>
        <v>0.23157232441582901</v>
      </c>
    </row>
    <row r="27" spans="2:27" ht="15.5" customHeight="1" x14ac:dyDescent="0.2">
      <c r="B27" s="140" t="s">
        <v>24</v>
      </c>
      <c r="C27" s="79">
        <f>'BALANCE SHEET'!C5/' P&amp;L'!C13</f>
        <v>5.1996105984931855</v>
      </c>
      <c r="D27" s="79">
        <f>'BALANCE SHEET'!D5/' P&amp;L'!D13</f>
        <v>3.306918426008524</v>
      </c>
      <c r="E27" s="79">
        <f>'BALANCE SHEET'!E5/' P&amp;L'!E13</f>
        <v>1.8468323362478907</v>
      </c>
      <c r="F27" s="79">
        <f>'BALANCE SHEET'!F5/' P&amp;L'!F13</f>
        <v>4.3775311315646999</v>
      </c>
      <c r="G27" s="79">
        <f>'BALANCE SHEET'!G5/' P&amp;L'!G13</f>
        <v>3.1247647121497319</v>
      </c>
      <c r="H27" s="79">
        <f>'BALANCE SHEET'!H5/' P&amp;L'!H13</f>
        <v>4.3455225522552254</v>
      </c>
      <c r="I27" s="79">
        <f>'BALANCE SHEET'!I5/' P&amp;L'!I13</f>
        <v>3.3705538962802062</v>
      </c>
      <c r="K27" s="40" t="s">
        <v>24</v>
      </c>
      <c r="L27" s="79">
        <f>'BALANCE SHEET'!C24/' P&amp;L'!P13</f>
        <v>6.6613869505115373</v>
      </c>
      <c r="M27" s="79">
        <f>'BALANCE SHEET'!D24/' P&amp;L'!Q13</f>
        <v>2.9012803457615433</v>
      </c>
      <c r="N27" s="79">
        <f>'BALANCE SHEET'!E24/' P&amp;L'!R13</f>
        <v>1.1901308789816341</v>
      </c>
      <c r="O27" s="79">
        <f>'BALANCE SHEET'!F24/' P&amp;L'!S13</f>
        <v>2.6282547826388476</v>
      </c>
      <c r="P27" s="79">
        <f>'BALANCE SHEET'!G24/' P&amp;L'!T13</f>
        <v>3.9141690549049053</v>
      </c>
      <c r="Q27" s="79">
        <f>'BALANCE SHEET'!H24/' P&amp;L'!U13</f>
        <v>3.7473066531744021</v>
      </c>
      <c r="R27" s="79">
        <f>'BALANCE SHEET'!I24/' P&amp;L'!V13</f>
        <v>2.6892319730417982</v>
      </c>
      <c r="T27" s="40" t="s">
        <v>24</v>
      </c>
      <c r="U27" s="79">
        <f>'BALANCE SHEET'!C43/' P&amp;L'!AC13</f>
        <v>5.3907334889951013</v>
      </c>
      <c r="V27" s="79">
        <f>'BALANCE SHEET'!D43/' P&amp;L'!AD13</f>
        <v>2.2820048585615358</v>
      </c>
      <c r="W27" s="79">
        <f>'BALANCE SHEET'!E43/' P&amp;L'!AE13</f>
        <v>0.86777488411792081</v>
      </c>
      <c r="X27" s="79">
        <f>'BALANCE SHEET'!F43/' P&amp;L'!AF13</f>
        <v>1.3122499230532478</v>
      </c>
      <c r="Y27" s="79">
        <f>'BALANCE SHEET'!G43/' P&amp;L'!AG13</f>
        <v>1.6146687369382713</v>
      </c>
      <c r="Z27" s="79">
        <f>'BALANCE SHEET'!H43/' P&amp;L'!AH13</f>
        <v>1.9398732542955579</v>
      </c>
      <c r="AA27" s="79">
        <f>'BALANCE SHEET'!I43/' P&amp;L'!AI13</f>
        <v>2.3298990425686514</v>
      </c>
    </row>
    <row r="28" spans="2:27" ht="15.5" customHeight="1" x14ac:dyDescent="0.2">
      <c r="B28" s="40" t="s">
        <v>25</v>
      </c>
      <c r="C28" s="79">
        <f>('BALANCE SHEET'!C5)/('BALANCE SHEET'!C5+'BALANCE SHEET'!C3+'BALANCE SHEET'!C4)</f>
        <v>0.62662463528595624</v>
      </c>
      <c r="D28" s="79">
        <f>('BALANCE SHEET'!D5)/('BALANCE SHEET'!D5+'BALANCE SHEET'!D3+'BALANCE SHEET'!D4)</f>
        <v>0.59398951369539865</v>
      </c>
      <c r="E28" s="79">
        <f>('BALANCE SHEET'!E5)/('BALANCE SHEET'!E5+'BALANCE SHEET'!E3+'BALANCE SHEET'!E4)</f>
        <v>0.51770177877793222</v>
      </c>
      <c r="F28" s="79">
        <f>('BALANCE SHEET'!F5)/('BALANCE SHEET'!F5+'BALANCE SHEET'!F3+'BALANCE SHEET'!F4)</f>
        <v>0.55171684362802631</v>
      </c>
      <c r="G28" s="79">
        <f>('BALANCE SHEET'!G5)/('BALANCE SHEET'!G5+'BALANCE SHEET'!G3+'BALANCE SHEET'!G4)</f>
        <v>0.53113435917248708</v>
      </c>
      <c r="H28" s="79">
        <f>('BALANCE SHEET'!H5)/('BALANCE SHEET'!H5+'BALANCE SHEET'!H3+'BALANCE SHEET'!H4)</f>
        <v>0.55401463130021089</v>
      </c>
      <c r="I28" s="79">
        <f>('BALANCE SHEET'!I5)/('BALANCE SHEET'!I5+'BALANCE SHEET'!I3+'BALANCE SHEET'!I4)</f>
        <v>0.49813656495939568</v>
      </c>
      <c r="K28" s="40" t="s">
        <v>25</v>
      </c>
      <c r="L28" s="79">
        <f>('BALANCE SHEET'!C24)/('BALANCE SHEET'!C22+'BALANCE SHEET'!C23+'BALANCE SHEET'!C24)</f>
        <v>0.61256157700317793</v>
      </c>
      <c r="M28" s="79">
        <f>('BALANCE SHEET'!D24)/('BALANCE SHEET'!D22+'BALANCE SHEET'!D23+'BALANCE SHEET'!D24)</f>
        <v>0.54382027843400449</v>
      </c>
      <c r="N28" s="79">
        <f>('BALANCE SHEET'!E24)/('BALANCE SHEET'!E22+'BALANCE SHEET'!E23+'BALANCE SHEET'!E24)</f>
        <v>0.39768212723927066</v>
      </c>
      <c r="O28" s="79">
        <f>('BALANCE SHEET'!F24)/('BALANCE SHEET'!F22+'BALANCE SHEET'!F23+'BALANCE SHEET'!F24)</f>
        <v>0.45161847190971782</v>
      </c>
      <c r="P28" s="79">
        <f>('BALANCE SHEET'!G24)/('BALANCE SHEET'!G22+'BALANCE SHEET'!G23+'BALANCE SHEET'!G24)</f>
        <v>0.48617212307336372</v>
      </c>
      <c r="Q28" s="79">
        <f>('BALANCE SHEET'!H24)/('BALANCE SHEET'!H22+'BALANCE SHEET'!H23+'BALANCE SHEET'!H24)</f>
        <v>0.5097634207714894</v>
      </c>
      <c r="R28" s="79">
        <f>('BALANCE SHEET'!I24)/('BALANCE SHEET'!I22+'BALANCE SHEET'!I23+'BALANCE SHEET'!I24)</f>
        <v>0.47484964353256826</v>
      </c>
      <c r="T28" s="40" t="s">
        <v>25</v>
      </c>
      <c r="U28" s="79">
        <f>'BALANCE SHEET'!C43/('BALANCE SHEET'!C41+'BALANCE SHEET'!C42+'BALANCE SHEET'!C43)</f>
        <v>0.53398439216310656</v>
      </c>
      <c r="V28" s="79">
        <f>'BALANCE SHEET'!D43/('BALANCE SHEET'!D41+'BALANCE SHEET'!D42+'BALANCE SHEET'!D43)</f>
        <v>0.48456865328372783</v>
      </c>
      <c r="W28" s="79">
        <f>'BALANCE SHEET'!E43/('BALANCE SHEET'!E41+'BALANCE SHEET'!E42+'BALANCE SHEET'!E43)</f>
        <v>0.27483527153479909</v>
      </c>
      <c r="X28" s="79">
        <f>'BALANCE SHEET'!F43/('BALANCE SHEET'!F41+'BALANCE SHEET'!F42+'BALANCE SHEET'!F43)</f>
        <v>0.25208848199811029</v>
      </c>
      <c r="Y28" s="79">
        <f>'BALANCE SHEET'!G43/('BALANCE SHEET'!G41+'BALANCE SHEET'!G42+'BALANCE SHEET'!G43)</f>
        <v>0.27097616887501924</v>
      </c>
      <c r="Z28" s="79">
        <f>'BALANCE SHEET'!H43/('BALANCE SHEET'!H41+'BALANCE SHEET'!H42+'BALANCE SHEET'!H43)</f>
        <v>0.28061915849379249</v>
      </c>
      <c r="AA28" s="79">
        <f>'BALANCE SHEET'!I43/('BALANCE SHEET'!I41+'BALANCE SHEET'!I42+'BALANCE SHEET'!I43)</f>
        <v>0.30757752236953401</v>
      </c>
    </row>
    <row r="29" spans="2:27" ht="15.5" customHeight="1" x14ac:dyDescent="0.2">
      <c r="B29" s="40" t="s">
        <v>26</v>
      </c>
      <c r="C29" s="79">
        <f>'CASH FLOW '!C2/'BALANCE SHEET'!C5</f>
        <v>0.20814678540611822</v>
      </c>
      <c r="D29" s="79">
        <f>'CASH FLOW '!D2/'BALANCE SHEET'!D5</f>
        <v>0.28220960031171788</v>
      </c>
      <c r="E29" s="79">
        <f>'CASH FLOW '!E2/'BALANCE SHEET'!E5</f>
        <v>0.36366405027894294</v>
      </c>
      <c r="F29" s="79">
        <f>'CASH FLOW '!F2/'BALANCE SHEET'!F5</f>
        <v>0.28846177631009362</v>
      </c>
      <c r="G29" s="79">
        <f>'CASH FLOW '!G2/'BALANCE SHEET'!G5</f>
        <v>0.13727495908346973</v>
      </c>
      <c r="H29" s="79">
        <f>'CASH FLOW '!H2/'BALANCE SHEET'!H5</f>
        <v>0.21163115683732989</v>
      </c>
      <c r="I29" s="79">
        <f>'CASH FLOW '!I2/'BALANCE SHEET'!I5</f>
        <v>0.25326754606786828</v>
      </c>
      <c r="K29" s="40" t="s">
        <v>26</v>
      </c>
      <c r="L29" s="79">
        <f>'CASH FLOW '!C18/'BALANCE SHEET'!C24</f>
        <v>0.17337773643879989</v>
      </c>
      <c r="M29" s="79">
        <f>'CASH FLOW '!D18/'BALANCE SHEET'!D24</f>
        <v>0.50085846089909747</v>
      </c>
      <c r="N29" s="79">
        <f>'CASH FLOW '!E18/'BALANCE SHEET'!E24</f>
        <v>0.58735041128831067</v>
      </c>
      <c r="O29" s="79">
        <f>'CASH FLOW '!F18/'BALANCE SHEET'!F24</f>
        <v>0.25541643279396842</v>
      </c>
      <c r="P29" s="79">
        <f>'CASH FLOW '!G18/'BALANCE SHEET'!G24</f>
        <v>0.23312098970489004</v>
      </c>
      <c r="Q29" s="79">
        <f>'CASH FLOW '!H18/'BALANCE SHEET'!H24</f>
        <v>0.24406459633094782</v>
      </c>
      <c r="R29" s="79">
        <f>'CASH FLOW '!I18/'BALANCE SHEET'!I24</f>
        <v>0.37956075273798878</v>
      </c>
      <c r="T29" s="40" t="s">
        <v>26</v>
      </c>
      <c r="U29" s="79">
        <f>'CASH FLOW '!C35/'BALANCE SHEET'!C43</f>
        <v>0.23936105356317022</v>
      </c>
      <c r="V29" s="79">
        <f>'CASH FLOW '!D35/'BALANCE SHEET'!D43</f>
        <v>0.39990150349268083</v>
      </c>
      <c r="W29" s="79">
        <f>'CASH FLOW '!E35/'BALANCE SHEET'!E43</f>
        <v>1.1885793133278624</v>
      </c>
      <c r="X29" s="79">
        <f>'CASH FLOW '!F35/'BALANCE SHEET'!F43</f>
        <v>0.56317916713614813</v>
      </c>
      <c r="Y29" s="79">
        <f>'CASH FLOW '!G35/'BALANCE SHEET'!G43</f>
        <v>0.36475831312749896</v>
      </c>
      <c r="Z29" s="79">
        <f>'CASH FLOW '!H35/'BALANCE SHEET'!H43</f>
        <v>0.58806437872702921</v>
      </c>
      <c r="AA29" s="79">
        <f>'CASH FLOW '!I35/'BALANCE SHEET'!I43</f>
        <v>0.31863659382871395</v>
      </c>
    </row>
    <row r="30" spans="2:27" ht="15.5" customHeight="1" x14ac:dyDescent="0.2">
      <c r="B30" s="40" t="s">
        <v>27</v>
      </c>
      <c r="C30" s="79">
        <f>'CASH FLOW '!C2/'BALANCE SHEET'!C5</f>
        <v>0.20814678540611822</v>
      </c>
      <c r="D30" s="79">
        <f>'CASH FLOW '!D2/'BALANCE SHEET'!D5</f>
        <v>0.28220960031171788</v>
      </c>
      <c r="E30" s="79">
        <f>'CASH FLOW '!E2/'BALANCE SHEET'!E5</f>
        <v>0.36366405027894294</v>
      </c>
      <c r="F30" s="79">
        <f>'CASH FLOW '!F2/'BALANCE SHEET'!F5</f>
        <v>0.28846177631009362</v>
      </c>
      <c r="G30" s="79">
        <f>'CASH FLOW '!G2/'BALANCE SHEET'!G5</f>
        <v>0.13727495908346973</v>
      </c>
      <c r="H30" s="79">
        <f>'CASH FLOW '!H2/'BALANCE SHEET'!H5</f>
        <v>0.21163115683732989</v>
      </c>
      <c r="I30" s="79">
        <f>'CASH FLOW '!I2/'BALANCE SHEET'!I5</f>
        <v>0.25326754606786828</v>
      </c>
      <c r="K30" s="40" t="s">
        <v>27</v>
      </c>
      <c r="L30" s="79">
        <f>'CASH FLOW '!C18/'BALANCE SHEET'!C5</f>
        <v>0.32835778128713999</v>
      </c>
      <c r="M30" s="79">
        <f>'CASH FLOW '!D18/'BALANCE SHEET'!D5</f>
        <v>0.66429900939649622</v>
      </c>
      <c r="N30" s="79">
        <f>'CASH FLOW '!E18/'BALANCE SHEET'!E5</f>
        <v>0.6143803037224691</v>
      </c>
      <c r="O30" s="79">
        <f>'CASH FLOW '!F18/'BALANCE SHEET'!F5</f>
        <v>0.26817904097559769</v>
      </c>
      <c r="P30" s="79">
        <f>'CASH FLOW '!G18/'BALANCE SHEET'!G5</f>
        <v>0.23073138297872339</v>
      </c>
      <c r="Q30" s="79">
        <f>'CASH FLOW '!H18/'BALANCE SHEET'!H5</f>
        <v>0.23429986228127028</v>
      </c>
      <c r="R30" s="79">
        <f>'CASH FLOW '!I18/'BALANCE SHEET'!I5</f>
        <v>0.35308085791964555</v>
      </c>
      <c r="T30" s="40" t="s">
        <v>27</v>
      </c>
      <c r="U30" s="79">
        <f>'CASH FLOW '!C35/'BALANCE SHEET'!C43</f>
        <v>0.23936105356317022</v>
      </c>
      <c r="V30" s="79">
        <v>0.30655382921053348</v>
      </c>
      <c r="W30" s="79">
        <v>0.95542245238356238</v>
      </c>
      <c r="X30" s="79">
        <v>0.42260301955112212</v>
      </c>
      <c r="Y30" s="79">
        <v>0.21650799471106971</v>
      </c>
      <c r="Z30" s="79">
        <v>0.47940463151306523</v>
      </c>
      <c r="AA30" s="79">
        <v>0.1992180295494603</v>
      </c>
    </row>
    <row r="31" spans="2:27" ht="15.5" customHeight="1" x14ac:dyDescent="0.2">
      <c r="B31" s="140" t="s">
        <v>28</v>
      </c>
      <c r="C31" s="108">
        <f>' P&amp;L'!C23</f>
        <v>1.7742086752637749</v>
      </c>
      <c r="D31" s="108">
        <f>' P&amp;L'!D23</f>
        <v>3.9168562041950974</v>
      </c>
      <c r="E31" s="108">
        <f>' P&amp;L'!E23</f>
        <v>6.6652576489533013</v>
      </c>
      <c r="F31" s="108">
        <f>' P&amp;L'!F23</f>
        <v>1.5931614024920313</v>
      </c>
      <c r="G31" s="108">
        <f>' P&amp;L'!G23</f>
        <v>2.4657618753855646</v>
      </c>
      <c r="H31" s="108">
        <f>' P&amp;L'!H23</f>
        <v>1.594864479315264</v>
      </c>
      <c r="I31" s="108">
        <f>' P&amp;L'!I23</f>
        <v>2.1822676334871458</v>
      </c>
      <c r="K31" s="40" t="s">
        <v>28</v>
      </c>
      <c r="L31" s="108">
        <f>' P&amp;L'!P23</f>
        <v>1.1976342875650761</v>
      </c>
      <c r="M31" s="108">
        <f>' P&amp;L'!Q23</f>
        <v>2.796296953610693</v>
      </c>
      <c r="N31" s="108">
        <f>' P&amp;L'!R23</f>
        <v>9.9573578411629029</v>
      </c>
      <c r="O31" s="108">
        <f>' P&amp;L'!S23</f>
        <v>3.6459840919554836</v>
      </c>
      <c r="P31" s="108">
        <f>' P&amp;L'!T23</f>
        <v>1.647105521493641</v>
      </c>
      <c r="Q31" s="108">
        <f>' P&amp;L'!U23</f>
        <v>2.0265932883346176</v>
      </c>
      <c r="R31" s="108">
        <f>' P&amp;L'!V23</f>
        <v>3.1251210398685094</v>
      </c>
      <c r="T31" s="40" t="s">
        <v>28</v>
      </c>
      <c r="U31" s="108">
        <f>' P&amp;L'!AC23</f>
        <v>0.90294276887799052</v>
      </c>
      <c r="V31" s="108">
        <f>' P&amp;L'!AD23</f>
        <v>3.8835123885898581</v>
      </c>
      <c r="W31" s="108">
        <f>' P&amp;L'!AE23</f>
        <v>7.1314661680024987</v>
      </c>
      <c r="X31" s="108">
        <f>' P&amp;L'!AF23</f>
        <v>5.0148973988339325</v>
      </c>
      <c r="Y31" s="108">
        <f>' P&amp;L'!AG23</f>
        <v>5.7020854098576024</v>
      </c>
      <c r="Z31" s="108">
        <f>' P&amp;L'!AH23</f>
        <v>5.1222029144564365</v>
      </c>
      <c r="AA31" s="108">
        <f>' P&amp;L'!AI23</f>
        <v>4.3073108977740198</v>
      </c>
    </row>
    <row r="32" spans="2:27" ht="15.5" customHeight="1" x14ac:dyDescent="0.2">
      <c r="B32" s="40"/>
      <c r="C32" s="108"/>
      <c r="D32" s="108"/>
      <c r="E32" s="108"/>
      <c r="F32" s="108"/>
      <c r="G32" s="108"/>
      <c r="H32" s="108"/>
      <c r="I32" s="108"/>
      <c r="K32" s="40"/>
      <c r="L32" s="108"/>
      <c r="M32" s="108"/>
      <c r="N32" s="108"/>
      <c r="O32" s="108"/>
      <c r="P32" s="108"/>
      <c r="Q32" s="108"/>
      <c r="R32" s="108"/>
      <c r="T32" s="40"/>
      <c r="U32" s="108"/>
      <c r="V32" s="108"/>
      <c r="W32" s="108"/>
      <c r="X32" s="108"/>
      <c r="Y32" s="108"/>
      <c r="Z32" s="108"/>
      <c r="AA32" s="108"/>
    </row>
    <row r="33" spans="2:27" ht="15.5" customHeight="1" x14ac:dyDescent="0.2">
      <c r="B33" s="18" t="s">
        <v>29</v>
      </c>
      <c r="C33" s="77">
        <v>43921</v>
      </c>
      <c r="D33" s="77">
        <v>44286</v>
      </c>
      <c r="E33" s="77">
        <v>44651</v>
      </c>
      <c r="F33" s="77">
        <v>45016</v>
      </c>
      <c r="G33" s="77">
        <v>45382</v>
      </c>
      <c r="H33" s="77">
        <v>45747</v>
      </c>
      <c r="I33" s="77">
        <v>46112</v>
      </c>
      <c r="K33" s="18" t="s">
        <v>29</v>
      </c>
      <c r="L33" s="77">
        <v>43921</v>
      </c>
      <c r="M33" s="77">
        <v>44286</v>
      </c>
      <c r="N33" s="77">
        <v>44651</v>
      </c>
      <c r="O33" s="77">
        <v>45016</v>
      </c>
      <c r="P33" s="77">
        <v>45382</v>
      </c>
      <c r="Q33" s="77">
        <v>45747</v>
      </c>
      <c r="R33" s="77">
        <v>46112</v>
      </c>
      <c r="T33" s="18" t="s">
        <v>29</v>
      </c>
      <c r="U33" s="77">
        <v>43921</v>
      </c>
      <c r="V33" s="77">
        <v>44286</v>
      </c>
      <c r="W33" s="77">
        <v>44651</v>
      </c>
      <c r="X33" s="77">
        <v>45016</v>
      </c>
      <c r="Y33" s="77">
        <v>45382</v>
      </c>
      <c r="Z33" s="77">
        <v>45747</v>
      </c>
      <c r="AA33" s="77">
        <v>46112</v>
      </c>
    </row>
    <row r="34" spans="2:27" ht="15.5" customHeight="1" x14ac:dyDescent="0.2">
      <c r="B34" s="40" t="s">
        <v>30</v>
      </c>
      <c r="C34" s="92"/>
      <c r="D34" s="92">
        <f>'Ratio Dupont '!C20</f>
        <v>5.6440715025646723E-2</v>
      </c>
      <c r="E34" s="92">
        <f>'Ratio Dupont '!D20</f>
        <v>0.1218572492783313</v>
      </c>
      <c r="F34" s="92">
        <f>'Ratio Dupont '!E20</f>
        <v>2.0337867054522583E-2</v>
      </c>
      <c r="G34" s="92">
        <f>'Ratio Dupont '!F20</f>
        <v>4.0931764426816168E-2</v>
      </c>
      <c r="H34" s="92">
        <f>'Ratio Dupont '!G20</f>
        <v>1.4907877346303885E-2</v>
      </c>
      <c r="I34" s="92">
        <f>'Ratio Dupont '!H20</f>
        <v>0.10001117421383525</v>
      </c>
      <c r="K34" s="40" t="s">
        <v>30</v>
      </c>
      <c r="L34" s="79"/>
      <c r="M34" s="79">
        <f>'Ratio Dupont '!C55</f>
        <v>3.3220371034817342E-2</v>
      </c>
      <c r="N34" s="79">
        <f>'Ratio Dupont '!D55</f>
        <v>0.15864287341996253</v>
      </c>
      <c r="O34" s="79">
        <f>'Ratio Dupont '!E55</f>
        <v>2.8443472457565375E-2</v>
      </c>
      <c r="P34" s="79">
        <f>'Ratio Dupont '!F55</f>
        <v>-1.7701595181033872E-2</v>
      </c>
      <c r="Q34" s="79">
        <f>'Ratio Dupont '!G55</f>
        <v>1.1651794974402137E-2</v>
      </c>
      <c r="R34" s="79">
        <f>'Ratio Dupont '!H55</f>
        <v>3.806409111475853E-2</v>
      </c>
      <c r="T34" s="40" t="s">
        <v>30</v>
      </c>
      <c r="U34" s="79"/>
      <c r="V34" s="79">
        <f>'Ratio Dupont '!C92</f>
        <v>5.0924685518847511E-2</v>
      </c>
      <c r="W34" s="79">
        <f>'Ratio Dupont '!D92</f>
        <v>8.7594330984632249E-2</v>
      </c>
      <c r="X34" s="79">
        <f>'Ratio Dupont '!E92</f>
        <v>5.4413213540258527E-2</v>
      </c>
      <c r="Y34" s="79">
        <f>'Ratio Dupont '!F92</f>
        <v>8.0259138117553974E-2</v>
      </c>
      <c r="Z34" s="79">
        <f>'Ratio Dupont '!G92</f>
        <v>3.4610205551913957E-2</v>
      </c>
      <c r="AA34" s="79">
        <f>'Ratio Dupont '!H92</f>
        <v>3.6650592926150929E-2</v>
      </c>
    </row>
    <row r="35" spans="2:27" ht="15.5" customHeight="1" x14ac:dyDescent="0.2">
      <c r="B35" s="40" t="s">
        <v>31</v>
      </c>
      <c r="C35" s="79"/>
      <c r="D35" s="79">
        <f>'Ratio Dupont '!C12</f>
        <v>9.861095454602388E-2</v>
      </c>
      <c r="E35" s="79">
        <f>'Ratio Dupont '!D12</f>
        <v>0.14304746158733628</v>
      </c>
      <c r="F35" s="79">
        <f>'Ratio Dupont '!E12</f>
        <v>2.4939744516751024E-2</v>
      </c>
      <c r="G35" s="79">
        <f>'Ratio Dupont '!F12</f>
        <v>5.1272527799046889E-2</v>
      </c>
      <c r="H35" s="79">
        <f>'Ratio Dupont '!G12</f>
        <v>2.0678339572572622E-2</v>
      </c>
      <c r="I35" s="143">
        <f>'Ratio Dupont '!H12</f>
        <v>0.13753167628187848</v>
      </c>
      <c r="K35" s="40" t="s">
        <v>31</v>
      </c>
      <c r="L35" s="79"/>
      <c r="M35" s="79">
        <f>'Ratio Dupont '!C47</f>
        <v>5.2338484662960885E-2</v>
      </c>
      <c r="N35" s="79">
        <f>'Ratio Dupont '!D47</f>
        <v>0.17113240711550218</v>
      </c>
      <c r="O35" s="79">
        <f>'Ratio Dupont '!E47</f>
        <v>3.3183730165464789E-2</v>
      </c>
      <c r="P35" s="79">
        <f>'Ratio Dupont '!F47</f>
        <v>-2.1423368197289315E-2</v>
      </c>
      <c r="Q35" s="79">
        <f>'Ratio Dupont '!G47</f>
        <v>1.45224835204831E-2</v>
      </c>
      <c r="R35" s="79">
        <f>'Ratio Dupont '!H47</f>
        <v>4.6893352346003017E-2</v>
      </c>
      <c r="T35" s="40" t="s">
        <v>31</v>
      </c>
      <c r="U35" s="79"/>
      <c r="V35" s="79">
        <f>'Ratio Dupont '!C84</f>
        <v>0.12340010815844346</v>
      </c>
      <c r="W35" s="79">
        <f>'Ratio Dupont '!D84</f>
        <v>0.13223639927107328</v>
      </c>
      <c r="X35" s="79">
        <f>'Ratio Dupont '!E84</f>
        <v>7.4684767508990432E-2</v>
      </c>
      <c r="Y35" s="79">
        <f>'Ratio Dupont '!F84</f>
        <v>0.11802968754499363</v>
      </c>
      <c r="Z35" s="79">
        <f>'Ratio Dupont '!G84</f>
        <v>5.676752580260476E-2</v>
      </c>
      <c r="AA35" s="79">
        <f>'Ratio Dupont '!H84</f>
        <v>6.2873060161986974E-2</v>
      </c>
    </row>
    <row r="36" spans="2:27" ht="15.5" customHeight="1" x14ac:dyDescent="0.2">
      <c r="B36" s="40" t="s">
        <v>32</v>
      </c>
      <c r="C36" s="108"/>
      <c r="D36" s="108">
        <f>'Ratio Dupont '!C18</f>
        <v>0.57235745547219719</v>
      </c>
      <c r="E36" s="108">
        <f>'Ratio Dupont '!D18</f>
        <v>0.85186586274327214</v>
      </c>
      <c r="F36" s="108">
        <f>'Ratio Dupont '!E18</f>
        <v>0.8154801682456071</v>
      </c>
      <c r="G36" s="108">
        <f>'Ratio Dupont '!F18</f>
        <v>0.79831766023396744</v>
      </c>
      <c r="H36" s="108">
        <f>'Ratio Dupont '!G18</f>
        <v>0.72094170298264304</v>
      </c>
      <c r="I36" s="108">
        <f>'Ratio Dupont '!H18</f>
        <v>0.72718647018347271</v>
      </c>
      <c r="K36" s="40" t="s">
        <v>42</v>
      </c>
      <c r="L36" s="108"/>
      <c r="M36" s="108">
        <f>'Ratio Dupont '!C53</f>
        <v>0.63472168230974546</v>
      </c>
      <c r="N36" s="108">
        <f>'Ratio Dupont '!D53</f>
        <v>0.92701830175794753</v>
      </c>
      <c r="O36" s="108">
        <f>'Ratio Dupont '!E53</f>
        <v>0.85715114954639038</v>
      </c>
      <c r="P36" s="108">
        <f>'Ratio Dupont '!F53</f>
        <v>0.82627507579660808</v>
      </c>
      <c r="Q36" s="108">
        <f>'Ratio Dupont '!G53</f>
        <v>0.80232798735615518</v>
      </c>
      <c r="R36" s="108">
        <f>'Ratio Dupont '!H53</f>
        <v>0.81171614334377917</v>
      </c>
      <c r="T36" s="40" t="s">
        <v>42</v>
      </c>
      <c r="U36" s="108"/>
      <c r="V36" s="108">
        <f>'Ratio Dupont '!C90</f>
        <v>0.41267942369597566</v>
      </c>
      <c r="W36" s="108">
        <f>'Ratio Dupont '!D90</f>
        <v>0.66240710929425251</v>
      </c>
      <c r="X36" s="108">
        <f>'Ratio Dupont '!E90</f>
        <v>0.72857177380525895</v>
      </c>
      <c r="Y36" s="108">
        <f>'Ratio Dupont '!F90</f>
        <v>0.67999110890604286</v>
      </c>
      <c r="Z36" s="108">
        <f>'Ratio Dupont '!G90</f>
        <v>0.60968317823578422</v>
      </c>
      <c r="AA36" s="108">
        <f>'Ratio Dupont '!H90</f>
        <v>0.58292999945801693</v>
      </c>
    </row>
    <row r="37" spans="2:27" ht="15.5" customHeight="1" x14ac:dyDescent="0.2">
      <c r="B37" s="40" t="s">
        <v>33</v>
      </c>
      <c r="C37" s="79"/>
      <c r="D37" s="79">
        <f>'Ratio Dupont '!N30</f>
        <v>0.19153620649807199</v>
      </c>
      <c r="E37" s="79">
        <f>'Ratio Dupont '!O30</f>
        <v>0.37088931598572278</v>
      </c>
      <c r="F37" s="79">
        <f>'Ratio Dupont '!P30</f>
        <v>6.2244345524542832E-2</v>
      </c>
      <c r="G37" s="79">
        <f>'Ratio Dupont '!Q30</f>
        <v>0.12517786892106805</v>
      </c>
      <c r="H37" s="79">
        <f>'Ratio Dupont '!R30</f>
        <v>4.4424649253968766E-2</v>
      </c>
      <c r="I37" s="79">
        <f>'Ratio Dupont '!S30</f>
        <v>0.28413413608541399</v>
      </c>
      <c r="J37" t="s">
        <v>134</v>
      </c>
      <c r="K37" s="40" t="s">
        <v>33</v>
      </c>
      <c r="L37" s="79"/>
      <c r="M37" s="79">
        <f>'Ratio Dupont '!N68</f>
        <v>2.1172049642840882</v>
      </c>
      <c r="N37" s="79">
        <f>'Ratio Dupont '!O68</f>
        <v>2.5859320514256252</v>
      </c>
      <c r="O37" s="79">
        <f>'Ratio Dupont '!P68</f>
        <v>2.2374672647032887</v>
      </c>
      <c r="P37" s="79">
        <f>'Ratio Dupont '!Q68</f>
        <v>2.3490497487006055</v>
      </c>
      <c r="Q37" s="79">
        <f>'Ratio Dupont '!R68</f>
        <v>2.3857650694665695</v>
      </c>
      <c r="R37" s="79">
        <f>'Ratio Dupont '!S68</f>
        <v>2.4013986335175503</v>
      </c>
      <c r="T37" s="40" t="s">
        <v>33</v>
      </c>
      <c r="U37" s="79"/>
      <c r="V37" s="79">
        <f>'Ratio Dupont '!N104</f>
        <v>8.8814374597703499E-2</v>
      </c>
      <c r="W37" s="79">
        <f>'Ratio Dupont '!O104</f>
        <v>0.13633626856348355</v>
      </c>
      <c r="X37" s="79">
        <f>'Ratio Dupont '!P104</f>
        <v>7.2285155022590322E-2</v>
      </c>
      <c r="Y37" s="79">
        <f>'Ratio Dupont '!Q104</f>
        <v>9.7648230469618735E-2</v>
      </c>
      <c r="Z37" s="79">
        <f>'Ratio Dupont '!R104</f>
        <v>4.1904652513788797E-2</v>
      </c>
      <c r="AA37" s="79">
        <f>'Ratio Dupont '!S104</f>
        <v>4.627109203932258E-2</v>
      </c>
    </row>
    <row r="38" spans="2:27" ht="15.5" customHeight="1" x14ac:dyDescent="0.2">
      <c r="B38" s="46"/>
      <c r="C38" s="78"/>
      <c r="D38" s="78"/>
      <c r="E38" s="78"/>
      <c r="F38" s="78"/>
      <c r="G38" s="78"/>
      <c r="H38" s="78"/>
      <c r="I38" s="78"/>
      <c r="K38" s="46"/>
      <c r="L38" s="78"/>
      <c r="M38" s="78"/>
      <c r="N38" s="78"/>
      <c r="O38" s="78"/>
      <c r="P38" s="78"/>
      <c r="Q38" s="78"/>
      <c r="R38" s="78"/>
      <c r="T38" s="46"/>
      <c r="U38" s="78"/>
      <c r="V38" s="78"/>
      <c r="W38" s="78"/>
      <c r="X38" s="78"/>
      <c r="Y38" s="78"/>
      <c r="Z38" s="78"/>
      <c r="AA38" s="78"/>
    </row>
    <row r="39" spans="2:27" ht="15.5" customHeight="1" x14ac:dyDescent="0.2">
      <c r="B39" s="46"/>
      <c r="C39" s="78"/>
      <c r="D39" s="78"/>
      <c r="E39" s="78"/>
      <c r="F39" s="78"/>
      <c r="G39" s="78"/>
      <c r="H39" s="78"/>
      <c r="I39" s="78"/>
      <c r="K39" s="46"/>
      <c r="L39" s="78"/>
      <c r="M39" s="78"/>
      <c r="N39" s="78"/>
      <c r="O39" s="78"/>
      <c r="P39" s="78"/>
      <c r="Q39" s="78"/>
      <c r="R39" s="78"/>
      <c r="T39" s="46"/>
      <c r="U39" s="78"/>
      <c r="V39" s="78"/>
      <c r="W39" s="78"/>
      <c r="X39" s="78"/>
      <c r="Y39" s="78"/>
      <c r="Z39" s="78"/>
      <c r="AA39" s="78"/>
    </row>
    <row r="40" spans="2:27" ht="15.5" customHeight="1" x14ac:dyDescent="0.2">
      <c r="B40" s="18" t="s">
        <v>34</v>
      </c>
      <c r="C40" s="77">
        <v>43921</v>
      </c>
      <c r="D40" s="77">
        <v>44286</v>
      </c>
      <c r="E40" s="77">
        <v>44651</v>
      </c>
      <c r="F40" s="77">
        <v>45016</v>
      </c>
      <c r="G40" s="77">
        <v>45382</v>
      </c>
      <c r="H40" s="77">
        <v>45747</v>
      </c>
      <c r="I40" s="77">
        <v>46112</v>
      </c>
      <c r="K40" s="18" t="s">
        <v>34</v>
      </c>
      <c r="L40" s="77">
        <v>43921</v>
      </c>
      <c r="M40" s="77">
        <v>44286</v>
      </c>
      <c r="N40" s="77">
        <v>44651</v>
      </c>
      <c r="O40" s="77">
        <v>45016</v>
      </c>
      <c r="P40" s="77">
        <v>45382</v>
      </c>
      <c r="Q40" s="77">
        <v>45747</v>
      </c>
      <c r="R40" s="77">
        <v>46112</v>
      </c>
      <c r="T40" s="18" t="s">
        <v>34</v>
      </c>
      <c r="U40" s="77">
        <v>43921</v>
      </c>
      <c r="V40" s="77">
        <v>44286</v>
      </c>
      <c r="W40" s="77">
        <v>44651</v>
      </c>
      <c r="X40" s="77">
        <v>45016</v>
      </c>
      <c r="Y40" s="77">
        <v>45382</v>
      </c>
      <c r="Z40" s="77">
        <v>45747</v>
      </c>
      <c r="AA40" s="77">
        <v>46112</v>
      </c>
    </row>
    <row r="41" spans="2:27" ht="15.5" customHeight="1" x14ac:dyDescent="0.2">
      <c r="B41" s="141" t="s">
        <v>35</v>
      </c>
      <c r="C41" s="139">
        <f>'CASH FLOW '!C11</f>
        <v>18</v>
      </c>
      <c r="D41" s="139">
        <f>'CASH FLOW '!D11</f>
        <v>7916</v>
      </c>
      <c r="E41" s="29">
        <f>'CASH FLOW '!E11</f>
        <v>16222</v>
      </c>
      <c r="F41" s="29">
        <f>'CASH FLOW '!F11</f>
        <v>8574</v>
      </c>
      <c r="G41" s="29">
        <f>'CASH FLOW '!G11</f>
        <v>-3469</v>
      </c>
      <c r="H41" s="29">
        <f>'CASH FLOW '!H11</f>
        <v>8264</v>
      </c>
      <c r="I41" s="29">
        <f>'CASH FLOW '!I11</f>
        <v>10610</v>
      </c>
      <c r="K41" s="46" t="s">
        <v>35</v>
      </c>
      <c r="L41" s="29">
        <f>'CASH FLOW '!C18</f>
        <v>20168.72</v>
      </c>
      <c r="M41" s="29">
        <f>'CASH FLOW '!D18</f>
        <v>44326.68</v>
      </c>
      <c r="N41" s="29">
        <f>'CASH FLOW '!E18</f>
        <v>44380.99</v>
      </c>
      <c r="O41" s="29">
        <f>'CASH FLOW '!F18</f>
        <v>21683.08</v>
      </c>
      <c r="P41" s="29">
        <f>'CASH FLOW '!G18</f>
        <v>20300.669999999998</v>
      </c>
      <c r="Q41" s="29">
        <f>'CASH FLOW '!H18</f>
        <v>23137.58</v>
      </c>
      <c r="R41" s="29">
        <f>'CASH FLOW '!I18</f>
        <v>35064.46</v>
      </c>
      <c r="T41" s="46" t="s">
        <v>35</v>
      </c>
      <c r="U41" s="29">
        <f>'CASH FLOW '!C35</f>
        <v>8814.32</v>
      </c>
      <c r="V41" s="29">
        <f>'CASH FLOW '!D35</f>
        <v>11960.93</v>
      </c>
      <c r="W41" s="29">
        <f>'CASH FLOW '!E35</f>
        <v>16047.77</v>
      </c>
      <c r="X41" s="29">
        <f>'CASH FLOW '!F35</f>
        <v>7347.41</v>
      </c>
      <c r="Y41" s="29">
        <f>'CASH FLOW '!G35</f>
        <v>6008.35</v>
      </c>
      <c r="Z41" s="29">
        <f>'CASH FLOW '!H35</f>
        <v>10823.96</v>
      </c>
      <c r="AA41" s="29">
        <f>'CASH FLOW '!I35</f>
        <v>7204.23</v>
      </c>
    </row>
    <row r="42" spans="2:27" ht="15.5" customHeight="1" x14ac:dyDescent="0.2">
      <c r="B42" s="46" t="s">
        <v>36</v>
      </c>
      <c r="C42" s="78">
        <f>'CASH FLOW '!C3</f>
        <v>-0.12628989270826221</v>
      </c>
      <c r="D42" s="78">
        <f>'CASH FLOW '!D3</f>
        <v>0.4728979272585061</v>
      </c>
      <c r="E42" s="78">
        <f>'CASH FLOW '!E3</f>
        <v>0.39504009346290681</v>
      </c>
      <c r="F42" s="78">
        <f>'CASH FLOW '!F3</f>
        <v>-0.11218119527978687</v>
      </c>
      <c r="G42" s="78">
        <f>'CASH FLOW '!G3</f>
        <v>-0.48214209149766329</v>
      </c>
      <c r="H42" s="78">
        <f>'CASH FLOW '!H3</f>
        <v>0.73033614836893523</v>
      </c>
      <c r="I42" s="78">
        <f>'CASH FLOW '!I3</f>
        <v>0.20350255993109712</v>
      </c>
      <c r="K42" s="46" t="s">
        <v>36</v>
      </c>
      <c r="L42" s="78">
        <f>'CASH FLOW '!C19</f>
        <v>0</v>
      </c>
      <c r="M42" s="78">
        <f>'CASH FLOW '!D19</f>
        <v>1.1977934147531424</v>
      </c>
      <c r="N42" s="78">
        <f>'CASH FLOW '!E19</f>
        <v>1.2252214693271313E-3</v>
      </c>
      <c r="O42" s="78">
        <f>'CASH FLOW '!F19</f>
        <v>-0.51143316090965962</v>
      </c>
      <c r="P42" s="78">
        <f>'CASH FLOW '!G19</f>
        <v>-6.3755241414042763E-2</v>
      </c>
      <c r="Q42" s="78">
        <f>'CASH FLOW '!H19</f>
        <v>0.1397446488219356</v>
      </c>
      <c r="R42" s="78">
        <f>'CASH FLOW '!I19</f>
        <v>0.51547655372774503</v>
      </c>
      <c r="T42" s="46" t="s">
        <v>36</v>
      </c>
      <c r="U42" s="78"/>
      <c r="V42" s="78">
        <f>'CASH FLOW '!D35/'CASH FLOW '!C35-1</f>
        <v>0.3569884006934172</v>
      </c>
      <c r="W42" s="78">
        <f>'CASH FLOW '!E35/'CASH FLOW '!D35-1</f>
        <v>0.34168246114641598</v>
      </c>
      <c r="X42" s="78">
        <f>'CASH FLOW '!F35/'CASH FLOW '!E35-1</f>
        <v>-0.5421538319654382</v>
      </c>
      <c r="Y42" s="78">
        <f>'CASH FLOW '!G35/'CASH FLOW '!F35-1</f>
        <v>-0.18224925517971635</v>
      </c>
      <c r="Z42" s="78">
        <f>'CASH FLOW '!H35/'CASH FLOW '!G35-1</f>
        <v>0.80148626494794728</v>
      </c>
      <c r="AA42" s="78">
        <f>'CASH FLOW '!I35/'CASH FLOW '!H35-1</f>
        <v>-0.33441827205569863</v>
      </c>
    </row>
    <row r="43" spans="2:27" ht="15.5" customHeight="1" x14ac:dyDescent="0.2">
      <c r="B43" s="46" t="s">
        <v>37</v>
      </c>
      <c r="C43" s="78"/>
      <c r="D43" s="78">
        <f>'CASH FLOW '!D12</f>
        <v>438.77777777777777</v>
      </c>
      <c r="E43" s="78">
        <f>'CASH FLOW '!E12</f>
        <v>1.0492673067205658</v>
      </c>
      <c r="F43" s="78">
        <f>'CASH FLOW '!F12</f>
        <v>-0.47145851313031684</v>
      </c>
      <c r="G43" s="78">
        <f>'CASH FLOW '!G12</f>
        <v>-1.4045952880802426</v>
      </c>
      <c r="H43" s="78">
        <f>'CASH FLOW '!H12</f>
        <v>-3.3822427212453157</v>
      </c>
      <c r="I43" s="78">
        <f>'CASH FLOW '!I12</f>
        <v>0.28388189738625358</v>
      </c>
      <c r="K43" s="46" t="s">
        <v>37</v>
      </c>
      <c r="L43" s="78"/>
      <c r="M43" s="78">
        <f>'CASH FLOW '!D29</f>
        <v>2.7209532211186285</v>
      </c>
      <c r="N43" s="78">
        <f>'CASH FLOW '!E29</f>
        <v>-8.9030203732574753E-2</v>
      </c>
      <c r="O43" s="78">
        <f>'CASH FLOW '!F29</f>
        <v>-0.77143365035251832</v>
      </c>
      <c r="P43" s="78">
        <f>'CASH FLOW '!G29</f>
        <v>-0.67357429331001872</v>
      </c>
      <c r="Q43" s="78">
        <f>'CASH FLOW '!H29</f>
        <v>2.3988717896810443</v>
      </c>
      <c r="R43" s="78">
        <f>'CASH FLOW '!I29</f>
        <v>1.5091643395971395</v>
      </c>
      <c r="T43" s="46" t="s">
        <v>37</v>
      </c>
      <c r="U43" s="78"/>
      <c r="V43" s="78">
        <f>'CASH FLOW '!D44/'CASH FLOW '!C44-1</f>
        <v>0.59672919656166856</v>
      </c>
      <c r="W43" s="78">
        <f>'CASH FLOW '!E44/'CASH FLOW '!D44-1</f>
        <v>0.40690025989946488</v>
      </c>
      <c r="X43" s="78">
        <f>'CASH FLOW '!F44/'CASH FLOW '!E44-1</f>
        <v>-0.57259625559215399</v>
      </c>
      <c r="Y43" s="78">
        <f>'CASH FLOW '!G44/'CASH FLOW '!F44-1</f>
        <v>-0.35314986550972993</v>
      </c>
      <c r="Z43" s="78">
        <f>'CASH FLOW '!H44/'CASH FLOW '!G44-1</f>
        <v>1.4742271510087344</v>
      </c>
      <c r="AA43" s="78">
        <f>'CASH FLOW '!I44/'CASH FLOW '!H44-1</f>
        <v>-0.4895455101791033</v>
      </c>
    </row>
    <row r="44" spans="2:27" ht="15.5" customHeight="1" x14ac:dyDescent="0.2">
      <c r="B44" s="46" t="s">
        <v>38</v>
      </c>
      <c r="C44" s="31">
        <f>'CASH FLOW '!C13</f>
        <v>2.4547909336388184E-4</v>
      </c>
      <c r="D44" s="136">
        <v>0.20089179473690799</v>
      </c>
      <c r="E44" s="136">
        <v>0.15796845003450141</v>
      </c>
      <c r="F44" s="136">
        <v>0.12948300795372381</v>
      </c>
      <c r="G44" s="136">
        <v>5.506096933819412E-2</v>
      </c>
      <c r="H44" s="136">
        <v>0.1119449841254798</v>
      </c>
      <c r="I44" s="136">
        <v>0.12105461799751981</v>
      </c>
      <c r="K44" s="46" t="s">
        <v>38</v>
      </c>
      <c r="L44" s="31">
        <f>'CASH FLOW '!C30</f>
        <v>7.2643136564922717E-2</v>
      </c>
      <c r="M44" s="31">
        <f>'CASH FLOW '!D30</f>
        <v>0.24152165104992798</v>
      </c>
      <c r="N44" s="31">
        <f>'CASH FLOW '!E30</f>
        <v>0.14112193446141005</v>
      </c>
      <c r="O44" s="31">
        <f>'CASH FLOW '!F30</f>
        <v>3.2336112660188807E-2</v>
      </c>
      <c r="P44" s="31">
        <f>'CASH FLOW '!G30</f>
        <v>1.1208540635066993E-2</v>
      </c>
      <c r="Q44" s="31">
        <f>'CASH FLOW '!H30</f>
        <v>3.9949115620571948E-2</v>
      </c>
      <c r="R44" s="31">
        <f>'CASH FLOW '!I30</f>
        <v>9.4367475066978984E-2</v>
      </c>
      <c r="T44" s="46" t="s">
        <v>38</v>
      </c>
      <c r="U44" s="31">
        <f>'CASH FLOW '!C47</f>
        <v>0.1514197513447576</v>
      </c>
      <c r="V44" s="31">
        <f>'CASH FLOW '!D47</f>
        <v>0.26515967830092918</v>
      </c>
      <c r="W44" s="31">
        <f>'CASH FLOW '!E47</f>
        <v>0.25211782751080608</v>
      </c>
      <c r="X44" s="31">
        <f>'CASH FLOW '!F47</f>
        <v>0.1036130897970966</v>
      </c>
      <c r="Y44" s="31">
        <f>'CASH FLOW '!G47</f>
        <v>7.0824922127041418E-2</v>
      </c>
      <c r="Z44" s="31">
        <f>'CASH FLOW '!H47</f>
        <v>0.17602624925541591</v>
      </c>
      <c r="AA44" s="31">
        <f>'CASH FLOW '!I47</f>
        <v>8.4262326056475698E-2</v>
      </c>
    </row>
    <row r="45" spans="2:27" ht="15.5" customHeight="1" x14ac:dyDescent="0.2">
      <c r="B45" s="46" t="s">
        <v>39</v>
      </c>
      <c r="C45" s="31">
        <f>'CASH FLOW '!C2/'BALANCE SHEET'!C13</f>
        <v>9.6988317402518592E-2</v>
      </c>
      <c r="D45" s="136">
        <f>'CASH FLOW '!D2/'BALANCE SHEET'!D13</f>
        <v>0.12796015302759525</v>
      </c>
      <c r="E45" s="136">
        <f>'CASH FLOW '!E2/'BALANCE SHEET'!E13</f>
        <v>0.1336997735196071</v>
      </c>
      <c r="F45" s="136">
        <f>'CASH FLOW '!F2/'BALANCE SHEET'!F13</f>
        <v>0.11077757565106702</v>
      </c>
      <c r="G45" s="136">
        <f>'CASH FLOW '!G2/'BALANCE SHEET'!G13</f>
        <v>5.2997393570807995E-2</v>
      </c>
      <c r="H45" s="136">
        <f>'CASH FLOW '!H2/'BALANCE SHEET'!H13</f>
        <v>8.6918006196843353E-2</v>
      </c>
      <c r="I45" s="136">
        <f>'CASH FLOW '!I2/'BALANCE SHEET'!I13</f>
        <v>9.3273702245065968E-2</v>
      </c>
      <c r="K45" s="46" t="s">
        <v>39</v>
      </c>
      <c r="L45" s="31">
        <f>'CASH FLOW '!C18/'BALANCE SHEET'!C32</f>
        <v>8.0950396292790439E-2</v>
      </c>
      <c r="M45" s="31">
        <f>'CASH FLOW '!D18/'BALANCE SHEET'!D32</f>
        <v>0.18173435777471114</v>
      </c>
      <c r="N45" s="31">
        <f>'CASH FLOW '!E18/'BALANCE SHEET'!E32</f>
        <v>0.15714442167274204</v>
      </c>
      <c r="O45" s="31">
        <f>'CASH FLOW '!F18/'BALANCE SHEET'!F32</f>
        <v>7.5975475180466934E-2</v>
      </c>
      <c r="P45" s="31">
        <f>'CASH FLOW '!G18/'BALANCE SHEET'!G32</f>
        <v>7.5379627868629298E-2</v>
      </c>
      <c r="Q45" s="31">
        <f>'CASH FLOW '!H18/'BALANCE SHEET'!H32</f>
        <v>8.3996584894905066E-2</v>
      </c>
      <c r="R45" s="31">
        <f>'CASH FLOW '!I18/'BALANCE SHEET'!I32</f>
        <v>0.1182554168829854</v>
      </c>
      <c r="T45" s="46" t="s">
        <v>39</v>
      </c>
      <c r="U45" s="31">
        <f>'CASH FLOW '!C35/'BALANCE SHEET'!C51</f>
        <v>9.8218503163793519E-2</v>
      </c>
      <c r="V45" s="31">
        <f>'CASH FLOW '!D35/'BALANCE SHEET'!D51</f>
        <v>0.15365960850935692</v>
      </c>
      <c r="W45" s="31">
        <f>'CASH FLOW '!E35/'BALANCE SHEET'!E51</f>
        <v>0.20938189963563794</v>
      </c>
      <c r="X45" s="31">
        <f>'CASH FLOW '!F35/'BALANCE SHEET'!F51</f>
        <v>0.10582893772371446</v>
      </c>
      <c r="Y45" s="31">
        <f>'CASH FLOW '!G35/'BALANCE SHEET'!G51</f>
        <v>7.6368240746260335E-2</v>
      </c>
      <c r="Z45" s="31">
        <f>'CASH FLOW '!H35/'BALANCE SHEET'!H51</f>
        <v>0.12620392035784958</v>
      </c>
      <c r="AA45" s="31">
        <f>'CASH FLOW '!I35/'BALANCE SHEET'!I51</f>
        <v>7.3787416676857689E-2</v>
      </c>
    </row>
    <row r="46" spans="2:27" ht="15.5" customHeight="1" x14ac:dyDescent="0.2">
      <c r="B46" s="141" t="s">
        <v>40</v>
      </c>
      <c r="C46" s="31">
        <f>'CASH FLOW '!C2/'BALANCE SHEET'!C5</f>
        <v>0.20814678540611822</v>
      </c>
      <c r="D46" s="31">
        <f>'CASH FLOW '!D2/'BALANCE SHEET'!D5</f>
        <v>0.28220960031171788</v>
      </c>
      <c r="E46" s="31">
        <f>'CASH FLOW '!E2/'BALANCE SHEET'!E5</f>
        <v>0.36366405027894294</v>
      </c>
      <c r="F46" s="31">
        <f>'CASH FLOW '!F2/'BALANCE SHEET'!F5</f>
        <v>0.28846177631009362</v>
      </c>
      <c r="G46" s="31">
        <f>'CASH FLOW '!G2/'BALANCE SHEET'!G5</f>
        <v>0.13727495908346973</v>
      </c>
      <c r="H46" s="31">
        <f>'CASH FLOW '!H2/'BALANCE SHEET'!H5</f>
        <v>0.21163115683732989</v>
      </c>
      <c r="I46" s="31">
        <f>'CASH FLOW '!I2/'BALANCE SHEET'!I5</f>
        <v>0.25326754606786828</v>
      </c>
      <c r="K46" s="46" t="s">
        <v>40</v>
      </c>
      <c r="L46" s="31">
        <f>'CASH FLOW '!C18/'BALANCE SHEET'!C24</f>
        <v>0.17337773643879989</v>
      </c>
      <c r="M46" s="31">
        <f>'CASH FLOW '!D18/'BALANCE SHEET'!D24</f>
        <v>0.50085846089909747</v>
      </c>
      <c r="N46" s="31">
        <f>'CASH FLOW '!E18/'BALANCE SHEET'!E24</f>
        <v>0.58735041128831067</v>
      </c>
      <c r="O46" s="31">
        <f>'CASH FLOW '!F18/'BALANCE SHEET'!F24</f>
        <v>0.25541643279396842</v>
      </c>
      <c r="P46" s="31">
        <f>'CASH FLOW '!G18/'BALANCE SHEET'!G24</f>
        <v>0.23312098970489004</v>
      </c>
      <c r="Q46" s="31">
        <f>'CASH FLOW '!H18/'BALANCE SHEET'!H24</f>
        <v>0.24406459633094782</v>
      </c>
      <c r="R46" s="31">
        <f>'CASH FLOW '!I18/'BALANCE SHEET'!I24</f>
        <v>0.37956075273798878</v>
      </c>
      <c r="T46" s="46" t="s">
        <v>40</v>
      </c>
      <c r="U46" s="31">
        <f>'CASH FLOW '!C35/'BALANCE SHEET'!C43</f>
        <v>0.23936105356317022</v>
      </c>
      <c r="V46" s="31">
        <f>'CASH FLOW '!D35/'BALANCE SHEET'!D43</f>
        <v>0.39990150349268083</v>
      </c>
      <c r="W46" s="31">
        <f>'CASH FLOW '!E35/'BALANCE SHEET'!E43</f>
        <v>1.1885793133278624</v>
      </c>
      <c r="X46" s="31">
        <f>'CASH FLOW '!F35/'BALANCE SHEET'!F43</f>
        <v>0.56317916713614813</v>
      </c>
      <c r="Y46" s="31">
        <f>'CASH FLOW '!G35/'BALANCE SHEET'!G43</f>
        <v>0.36475831312749896</v>
      </c>
      <c r="Z46" s="31">
        <f>'CASH FLOW '!H35/'BALANCE SHEET'!H43</f>
        <v>0.58806437872702921</v>
      </c>
      <c r="AA46" s="31">
        <f>'CASH FLOW '!I35/'BALANCE SHEET'!I43</f>
        <v>0.31863659382871395</v>
      </c>
    </row>
    <row r="47" spans="2:27" ht="15.5" customHeight="1" x14ac:dyDescent="0.2">
      <c r="B47" s="141" t="s">
        <v>41</v>
      </c>
      <c r="C47" s="110">
        <f>'CASH FLOW '!C2/'CASH FLOW '!C10</f>
        <v>1.0014098848594031</v>
      </c>
      <c r="D47" s="110">
        <f>'CASH FLOW '!D2/'CASH FLOW '!D10</f>
        <v>1.7252404947320201</v>
      </c>
      <c r="E47" s="110">
        <f>'CASH FLOW '!E2/'CASH FLOW '!E10</f>
        <v>2.6144506369426752</v>
      </c>
      <c r="F47" s="110">
        <f>'CASH FLOW '!F2/'CASH FLOW '!F10</f>
        <v>1.5813275476303479</v>
      </c>
      <c r="G47" s="110">
        <f>'CASH FLOW '!G2/'CASH FLOW '!G10</f>
        <v>0.77687013571750174</v>
      </c>
      <c r="H47" s="110">
        <f>'CASH FLOW '!H2/'CASH FLOW '!H10</f>
        <v>1.6540561931143649</v>
      </c>
      <c r="I47" s="110">
        <f>'CASH FLOW '!I2/'CASH FLOW '!I10</f>
        <v>1.7296107825608582</v>
      </c>
      <c r="K47" s="46" t="s">
        <v>41</v>
      </c>
      <c r="L47" s="110">
        <f>'CASH FLOW '!C18/'CASH FLOW '!C26</f>
        <v>2.0144546544147026</v>
      </c>
      <c r="M47" s="110">
        <f>'CASH FLOW '!D18/'CASH FLOW '!D26</f>
        <v>6.7840036730945821</v>
      </c>
      <c r="N47" s="110">
        <f>'CASH FLOW '!E18/'CASH FLOW '!E26</f>
        <v>4.45905656585954</v>
      </c>
      <c r="O47" s="110">
        <f>'CASH FLOW '!F18/'CASH FLOW '!F26</f>
        <v>1.569645287389605</v>
      </c>
      <c r="P47" s="110">
        <f>'CASH FLOW '!G18/'CASH FLOW '!G26</f>
        <v>1.1448607038123166</v>
      </c>
      <c r="Q47" s="110">
        <f>'CASH FLOW '!H18/'CASH FLOW '!H26</f>
        <v>1.6059956965364059</v>
      </c>
      <c r="R47" s="110">
        <f>'CASH FLOW '!I18/'CASH FLOW '!I26</f>
        <v>2.6648776409788719</v>
      </c>
      <c r="T47" s="46" t="s">
        <v>41</v>
      </c>
      <c r="U47" s="110">
        <f>'CASH FLOW '!C35/'CASH FLOW '!C43</f>
        <v>5.852802124833997</v>
      </c>
      <c r="V47" s="110">
        <f>'CASH FLOW '!D35/'CASH FLOW '!D43</f>
        <v>14.290238948626046</v>
      </c>
      <c r="W47" s="110">
        <f>'CASH FLOW '!E35/'CASH FLOW '!E43</f>
        <v>5.5876636490250702</v>
      </c>
      <c r="X47" s="110">
        <f>'CASH FLOW '!F35/'CASH FLOW '!F43</f>
        <v>1.1476741643236488</v>
      </c>
      <c r="Y47" s="110">
        <f>'CASH FLOW '!G35/'CASH FLOW '!G43</f>
        <v>0.71298801471460782</v>
      </c>
      <c r="Z47" s="110">
        <f>'CASH FLOW '!H35/'CASH FLOW '!H43</f>
        <v>1.0318360343183983</v>
      </c>
      <c r="AA47" s="110">
        <f>'CASH FLOW '!I35/'CASH FLOW '!I43</f>
        <v>0.75460668272755838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U104"/>
  <sheetViews>
    <sheetView zoomScale="75" workbookViewId="0">
      <selection activeCell="I28" sqref="I28"/>
    </sheetView>
  </sheetViews>
  <sheetFormatPr baseColWidth="10" defaultColWidth="8.83203125" defaultRowHeight="15" x14ac:dyDescent="0.2"/>
  <cols>
    <col min="1" max="1" width="3" customWidth="1"/>
    <col min="2" max="2" width="27.1640625" bestFit="1" customWidth="1"/>
    <col min="3" max="3" width="10.1640625" customWidth="1"/>
    <col min="4" max="8" width="9.33203125" bestFit="1" customWidth="1"/>
    <col min="11" max="11" width="20.5" customWidth="1"/>
    <col min="14" max="19" width="11.33203125" bestFit="1" customWidth="1"/>
  </cols>
  <sheetData>
    <row r="1" spans="2:19" x14ac:dyDescent="0.2">
      <c r="B1" t="s">
        <v>0</v>
      </c>
    </row>
    <row r="2" spans="2:19" ht="18" customHeight="1" x14ac:dyDescent="0.25">
      <c r="B2" s="81"/>
      <c r="C2" s="82" t="s">
        <v>110</v>
      </c>
      <c r="D2" s="81"/>
      <c r="E2" s="82"/>
      <c r="F2" s="82"/>
      <c r="G2" s="83"/>
      <c r="H2" s="83"/>
    </row>
    <row r="3" spans="2:19" ht="18" customHeight="1" x14ac:dyDescent="0.25">
      <c r="B3" s="84" t="s">
        <v>111</v>
      </c>
      <c r="C3" s="84">
        <v>2021</v>
      </c>
      <c r="D3" s="84">
        <f>C3+1</f>
        <v>2022</v>
      </c>
      <c r="E3" s="84">
        <f>D3+1</f>
        <v>2023</v>
      </c>
      <c r="F3" s="84">
        <f>E3+1</f>
        <v>2024</v>
      </c>
      <c r="G3" s="84">
        <f>F3+1</f>
        <v>2025</v>
      </c>
      <c r="H3" s="84">
        <f>G3+1</f>
        <v>2026</v>
      </c>
    </row>
    <row r="4" spans="2:19" ht="18" customHeight="1" x14ac:dyDescent="0.25">
      <c r="B4" s="85" t="s">
        <v>112</v>
      </c>
      <c r="C4" s="86">
        <f>' P&amp;L'!D29</f>
        <v>7873</v>
      </c>
      <c r="D4" s="86">
        <f>' P&amp;L'!E29</f>
        <v>20938</v>
      </c>
      <c r="E4" s="86">
        <f>' P&amp;L'!F29</f>
        <v>4139</v>
      </c>
      <c r="F4" s="86">
        <f>' P&amp;L'!G29</f>
        <v>8973</v>
      </c>
      <c r="G4" s="86">
        <f>' P&amp;L'!H29</f>
        <v>3491</v>
      </c>
      <c r="H4" s="86">
        <f>' P&amp;L'!I29</f>
        <v>25508</v>
      </c>
    </row>
    <row r="5" spans="2:19" ht="18" customHeight="1" x14ac:dyDescent="0.25">
      <c r="B5" s="85" t="s">
        <v>113</v>
      </c>
      <c r="C5" s="86">
        <f t="shared" ref="C5:H5" si="0">L8</f>
        <v>139491.5</v>
      </c>
      <c r="D5" s="86">
        <f t="shared" si="0"/>
        <v>171824</v>
      </c>
      <c r="E5" s="86">
        <f t="shared" si="0"/>
        <v>203512</v>
      </c>
      <c r="F5" s="86">
        <f t="shared" si="0"/>
        <v>219218.5</v>
      </c>
      <c r="G5" s="86">
        <f t="shared" si="0"/>
        <v>234171.5</v>
      </c>
      <c r="H5" s="86">
        <f t="shared" si="0"/>
        <v>255051.5</v>
      </c>
    </row>
    <row r="6" spans="2:19" ht="18" customHeight="1" x14ac:dyDescent="0.25">
      <c r="B6" s="87" t="s">
        <v>111</v>
      </c>
      <c r="C6" s="90">
        <f t="shared" ref="C6:H6" si="1">C4/C5</f>
        <v>5.6440715025646723E-2</v>
      </c>
      <c r="D6" s="90">
        <f t="shared" si="1"/>
        <v>0.12185724927833132</v>
      </c>
      <c r="E6" s="90">
        <f t="shared" si="1"/>
        <v>2.0337867054522583E-2</v>
      </c>
      <c r="F6" s="90">
        <f t="shared" si="1"/>
        <v>4.0931764426816168E-2</v>
      </c>
      <c r="G6" s="90">
        <f t="shared" si="1"/>
        <v>1.4907877346303885E-2</v>
      </c>
      <c r="H6" s="90">
        <f t="shared" si="1"/>
        <v>0.10001117421383525</v>
      </c>
      <c r="K6" s="94">
        <f t="shared" ref="K6:P6" si="2">L6-1</f>
        <v>2020</v>
      </c>
      <c r="L6" s="94">
        <f t="shared" si="2"/>
        <v>2021</v>
      </c>
      <c r="M6" s="94">
        <f t="shared" si="2"/>
        <v>2022</v>
      </c>
      <c r="N6" s="94">
        <f t="shared" si="2"/>
        <v>2023</v>
      </c>
      <c r="O6" s="94">
        <f t="shared" si="2"/>
        <v>2024</v>
      </c>
      <c r="P6" s="94">
        <f t="shared" si="2"/>
        <v>2025</v>
      </c>
      <c r="Q6" s="94">
        <v>2026</v>
      </c>
    </row>
    <row r="7" spans="2:19" ht="18" customHeight="1" x14ac:dyDescent="0.25">
      <c r="B7" s="88"/>
      <c r="C7" s="88"/>
      <c r="D7" s="88"/>
      <c r="E7" s="89"/>
      <c r="F7" s="89"/>
      <c r="G7" s="89"/>
      <c r="H7" s="89"/>
      <c r="K7">
        <v>131820</v>
      </c>
      <c r="L7">
        <v>147163</v>
      </c>
      <c r="M7">
        <v>196485</v>
      </c>
      <c r="N7">
        <v>210539</v>
      </c>
      <c r="O7">
        <v>227898</v>
      </c>
      <c r="P7">
        <v>240445</v>
      </c>
      <c r="Q7">
        <v>269658</v>
      </c>
    </row>
    <row r="8" spans="2:19" ht="18" customHeight="1" x14ac:dyDescent="0.25">
      <c r="B8" s="81"/>
      <c r="C8" s="83" t="s">
        <v>114</v>
      </c>
      <c r="D8" s="81"/>
      <c r="E8" s="83"/>
      <c r="F8" s="82"/>
      <c r="G8" s="83"/>
      <c r="H8" s="83"/>
      <c r="L8">
        <f t="shared" ref="L8:Q8" si="3">AVERAGE(L7,K7)</f>
        <v>139491.5</v>
      </c>
      <c r="M8">
        <f t="shared" si="3"/>
        <v>171824</v>
      </c>
      <c r="N8">
        <f t="shared" si="3"/>
        <v>203512</v>
      </c>
      <c r="O8">
        <f t="shared" si="3"/>
        <v>219218.5</v>
      </c>
      <c r="P8">
        <f t="shared" si="3"/>
        <v>234171.5</v>
      </c>
      <c r="Q8">
        <f t="shared" si="3"/>
        <v>255051.5</v>
      </c>
    </row>
    <row r="9" spans="2:19" ht="18" customHeight="1" x14ac:dyDescent="0.25">
      <c r="B9" s="84"/>
      <c r="C9" s="84">
        <v>2021</v>
      </c>
      <c r="D9" s="84">
        <f>C9+1</f>
        <v>2022</v>
      </c>
      <c r="E9" s="84">
        <f>D9+1</f>
        <v>2023</v>
      </c>
      <c r="F9" s="84">
        <f>E9+1</f>
        <v>2024</v>
      </c>
      <c r="G9" s="84">
        <f>F9+1</f>
        <v>2025</v>
      </c>
      <c r="H9" s="84">
        <f>G9+1</f>
        <v>2026</v>
      </c>
    </row>
    <row r="10" spans="2:19" ht="18" customHeight="1" x14ac:dyDescent="0.25">
      <c r="B10" s="85" t="s">
        <v>112</v>
      </c>
      <c r="C10" s="86">
        <f t="shared" ref="C10:H10" si="4">C4</f>
        <v>7873</v>
      </c>
      <c r="D10" s="86">
        <f t="shared" si="4"/>
        <v>20938</v>
      </c>
      <c r="E10" s="86">
        <f t="shared" si="4"/>
        <v>4139</v>
      </c>
      <c r="F10" s="86">
        <f t="shared" si="4"/>
        <v>8973</v>
      </c>
      <c r="G10" s="86">
        <f t="shared" si="4"/>
        <v>3491</v>
      </c>
      <c r="H10" s="86">
        <f t="shared" si="4"/>
        <v>25508</v>
      </c>
    </row>
    <row r="11" spans="2:19" ht="18" customHeight="1" x14ac:dyDescent="0.25">
      <c r="B11" s="85" t="s">
        <v>115</v>
      </c>
      <c r="C11" s="85">
        <f>' P&amp;L'!D2</f>
        <v>79839</v>
      </c>
      <c r="D11" s="85">
        <f>' P&amp;L'!E2</f>
        <v>146371</v>
      </c>
      <c r="E11" s="85">
        <f>' P&amp;L'!F2</f>
        <v>165960</v>
      </c>
      <c r="F11" s="85">
        <f>' P&amp;L'!G2</f>
        <v>175006</v>
      </c>
      <c r="G11" s="85">
        <f>' P&amp;L'!H2</f>
        <v>168824</v>
      </c>
      <c r="H11" s="85">
        <f>' P&amp;L'!I2</f>
        <v>185470</v>
      </c>
    </row>
    <row r="12" spans="2:19" ht="18" customHeight="1" x14ac:dyDescent="0.25">
      <c r="B12" s="87" t="s">
        <v>116</v>
      </c>
      <c r="C12" s="90">
        <f t="shared" ref="C12:H12" si="5">C10/C11</f>
        <v>9.861095454602388E-2</v>
      </c>
      <c r="D12" s="90">
        <f t="shared" si="5"/>
        <v>0.14304746158733628</v>
      </c>
      <c r="E12" s="90">
        <f t="shared" si="5"/>
        <v>2.4939744516751024E-2</v>
      </c>
      <c r="F12" s="90">
        <f t="shared" si="5"/>
        <v>5.1272527799046889E-2</v>
      </c>
      <c r="G12" s="90">
        <f t="shared" si="5"/>
        <v>2.0678339572572622E-2</v>
      </c>
      <c r="H12" s="90">
        <f t="shared" si="5"/>
        <v>0.13753167628187848</v>
      </c>
      <c r="K12" s="81"/>
      <c r="L12" s="81"/>
      <c r="M12" s="81"/>
      <c r="N12" s="83"/>
      <c r="O12" s="81"/>
      <c r="P12" s="83"/>
      <c r="Q12" s="82"/>
      <c r="R12" s="83"/>
      <c r="S12" s="83"/>
    </row>
    <row r="13" spans="2:19" ht="18" customHeight="1" x14ac:dyDescent="0.25">
      <c r="B13" s="85"/>
      <c r="C13" s="85"/>
      <c r="D13" s="85"/>
      <c r="E13" s="85"/>
      <c r="F13" s="85"/>
      <c r="G13" s="85"/>
      <c r="H13" s="85"/>
      <c r="K13" s="84"/>
      <c r="L13" s="84"/>
      <c r="M13" s="84"/>
      <c r="N13" s="84">
        <f>O13-1</f>
        <v>2021</v>
      </c>
      <c r="O13" s="84">
        <f>P13-1</f>
        <v>2022</v>
      </c>
      <c r="P13" s="84">
        <f>Q13-1</f>
        <v>2023</v>
      </c>
      <c r="Q13" s="84">
        <f>R13-1</f>
        <v>2024</v>
      </c>
      <c r="R13" s="84">
        <f>S13-1</f>
        <v>2025</v>
      </c>
      <c r="S13" s="84">
        <v>2026</v>
      </c>
    </row>
    <row r="14" spans="2:19" ht="18" customHeight="1" x14ac:dyDescent="0.25">
      <c r="B14" s="81"/>
      <c r="C14" s="81"/>
      <c r="D14" s="81"/>
      <c r="E14" s="83"/>
      <c r="F14" s="82"/>
      <c r="G14" s="83"/>
      <c r="H14" s="83"/>
      <c r="K14" s="85" t="s">
        <v>117</v>
      </c>
      <c r="L14" s="86"/>
      <c r="M14" s="86"/>
      <c r="N14" s="86">
        <f t="shared" ref="N14:S14" si="6">C4</f>
        <v>7873</v>
      </c>
      <c r="O14" s="86">
        <f t="shared" si="6"/>
        <v>20938</v>
      </c>
      <c r="P14" s="86">
        <f t="shared" si="6"/>
        <v>4139</v>
      </c>
      <c r="Q14" s="86">
        <f t="shared" si="6"/>
        <v>8973</v>
      </c>
      <c r="R14" s="86">
        <f t="shared" si="6"/>
        <v>3491</v>
      </c>
      <c r="S14" s="86">
        <f t="shared" si="6"/>
        <v>25508</v>
      </c>
    </row>
    <row r="15" spans="2:19" ht="18" customHeight="1" x14ac:dyDescent="0.25">
      <c r="B15" s="84"/>
      <c r="C15" s="84">
        <v>2021</v>
      </c>
      <c r="D15" s="84">
        <f>D9</f>
        <v>2022</v>
      </c>
      <c r="E15" s="84">
        <f>E9</f>
        <v>2023</v>
      </c>
      <c r="F15" s="84">
        <f>F9</f>
        <v>2024</v>
      </c>
      <c r="G15" s="84">
        <f>G9</f>
        <v>2025</v>
      </c>
      <c r="H15" s="84">
        <f>H9</f>
        <v>2026</v>
      </c>
      <c r="K15" s="85" t="s">
        <v>115</v>
      </c>
      <c r="L15" s="93"/>
      <c r="M15" s="93"/>
      <c r="N15" s="93">
        <f t="shared" ref="N15:S15" si="7">C11</f>
        <v>79839</v>
      </c>
      <c r="O15" s="93">
        <f t="shared" si="7"/>
        <v>146371</v>
      </c>
      <c r="P15" s="93">
        <f t="shared" si="7"/>
        <v>165960</v>
      </c>
      <c r="Q15" s="93">
        <f t="shared" si="7"/>
        <v>175006</v>
      </c>
      <c r="R15" s="93">
        <f t="shared" si="7"/>
        <v>168824</v>
      </c>
      <c r="S15" s="93">
        <f t="shared" si="7"/>
        <v>185470</v>
      </c>
    </row>
    <row r="16" spans="2:19" ht="18" customHeight="1" x14ac:dyDescent="0.25">
      <c r="B16" s="85" t="s">
        <v>115</v>
      </c>
      <c r="C16" s="85">
        <f t="shared" ref="C16:H16" si="8">C11</f>
        <v>79839</v>
      </c>
      <c r="D16" s="85">
        <f t="shared" si="8"/>
        <v>146371</v>
      </c>
      <c r="E16" s="85">
        <f t="shared" si="8"/>
        <v>165960</v>
      </c>
      <c r="F16" s="85">
        <f t="shared" si="8"/>
        <v>175006</v>
      </c>
      <c r="G16" s="85">
        <f t="shared" si="8"/>
        <v>168824</v>
      </c>
      <c r="H16" s="85">
        <f t="shared" si="8"/>
        <v>185470</v>
      </c>
      <c r="K16" s="87" t="s">
        <v>118</v>
      </c>
      <c r="L16" s="90"/>
      <c r="M16" s="90"/>
      <c r="N16" s="90">
        <f t="shared" ref="N16:S16" si="9">N14/N15</f>
        <v>9.861095454602388E-2</v>
      </c>
      <c r="O16" s="90">
        <f t="shared" si="9"/>
        <v>0.14304746158733628</v>
      </c>
      <c r="P16" s="90">
        <f t="shared" si="9"/>
        <v>2.4939744516751024E-2</v>
      </c>
      <c r="Q16" s="90">
        <f t="shared" si="9"/>
        <v>5.1272527799046889E-2</v>
      </c>
      <c r="R16" s="90">
        <f t="shared" si="9"/>
        <v>2.0678339572572622E-2</v>
      </c>
      <c r="S16" s="90">
        <f t="shared" si="9"/>
        <v>0.13753167628187848</v>
      </c>
    </row>
    <row r="17" spans="2:19" ht="18" customHeight="1" x14ac:dyDescent="0.25">
      <c r="B17" s="85" t="s">
        <v>119</v>
      </c>
      <c r="C17" s="86">
        <f t="shared" ref="C17:H17" si="10">C5</f>
        <v>139491.5</v>
      </c>
      <c r="D17" s="86">
        <f t="shared" si="10"/>
        <v>171824</v>
      </c>
      <c r="E17" s="86">
        <f t="shared" si="10"/>
        <v>203512</v>
      </c>
      <c r="F17" s="86">
        <f t="shared" si="10"/>
        <v>219218.5</v>
      </c>
      <c r="G17" s="86">
        <f t="shared" si="10"/>
        <v>234171.5</v>
      </c>
      <c r="H17" s="86">
        <f t="shared" si="10"/>
        <v>255051.5</v>
      </c>
      <c r="K17" s="85"/>
      <c r="L17" s="85"/>
      <c r="M17" s="85"/>
      <c r="N17" s="85"/>
      <c r="O17" s="85"/>
      <c r="P17" s="85"/>
      <c r="Q17" s="85"/>
      <c r="R17" s="85"/>
      <c r="S17" s="85"/>
    </row>
    <row r="18" spans="2:19" ht="18" customHeight="1" x14ac:dyDescent="0.25">
      <c r="B18" s="87" t="s">
        <v>120</v>
      </c>
      <c r="C18" s="111">
        <f t="shared" ref="C18:H18" si="11">C16/C17</f>
        <v>0.57235745547219719</v>
      </c>
      <c r="D18" s="111">
        <f t="shared" si="11"/>
        <v>0.85186586274327214</v>
      </c>
      <c r="E18" s="111">
        <f t="shared" si="11"/>
        <v>0.8154801682456071</v>
      </c>
      <c r="F18" s="111">
        <f t="shared" si="11"/>
        <v>0.79831766023396744</v>
      </c>
      <c r="G18" s="111">
        <f t="shared" si="11"/>
        <v>0.72094170298264304</v>
      </c>
      <c r="H18" s="111">
        <f t="shared" si="11"/>
        <v>0.72718647018347271</v>
      </c>
      <c r="K18" s="81"/>
      <c r="L18" s="81"/>
      <c r="M18" s="81"/>
      <c r="N18" s="81"/>
      <c r="O18" s="81"/>
      <c r="P18" s="83"/>
      <c r="Q18" s="82"/>
      <c r="R18" s="83"/>
      <c r="S18" s="83"/>
    </row>
    <row r="19" spans="2:19" ht="18" customHeight="1" x14ac:dyDescent="0.25">
      <c r="B19" s="88"/>
      <c r="C19" s="91"/>
      <c r="D19" s="91"/>
      <c r="E19" s="91"/>
      <c r="F19" s="91"/>
      <c r="G19" s="91"/>
      <c r="H19" s="91"/>
      <c r="K19" s="84"/>
      <c r="L19" s="84"/>
      <c r="M19" s="84"/>
      <c r="N19" s="84">
        <v>2020</v>
      </c>
      <c r="O19" s="84">
        <f>N19+1</f>
        <v>2021</v>
      </c>
      <c r="P19" s="84">
        <f>O19+1</f>
        <v>2022</v>
      </c>
      <c r="Q19" s="84">
        <f>P19+1</f>
        <v>2023</v>
      </c>
      <c r="R19" s="84">
        <f>Q19+1</f>
        <v>2024</v>
      </c>
      <c r="S19" s="84">
        <f>R19+1</f>
        <v>2025</v>
      </c>
    </row>
    <row r="20" spans="2:19" ht="18" customHeight="1" x14ac:dyDescent="0.25">
      <c r="B20" s="87" t="s">
        <v>121</v>
      </c>
      <c r="C20" s="90">
        <f t="shared" ref="C20:H20" si="12">C12*C18</f>
        <v>5.6440715025646723E-2</v>
      </c>
      <c r="D20" s="90">
        <f t="shared" si="12"/>
        <v>0.1218572492783313</v>
      </c>
      <c r="E20" s="90">
        <f t="shared" si="12"/>
        <v>2.0337867054522583E-2</v>
      </c>
      <c r="F20" s="90">
        <f t="shared" si="12"/>
        <v>4.0931764426816168E-2</v>
      </c>
      <c r="G20" s="90">
        <f t="shared" si="12"/>
        <v>1.4907877346303885E-2</v>
      </c>
      <c r="H20" s="90">
        <f t="shared" si="12"/>
        <v>0.10001117421383525</v>
      </c>
      <c r="K20" s="85" t="s">
        <v>115</v>
      </c>
      <c r="L20" s="93"/>
      <c r="M20" s="93"/>
      <c r="N20" s="93">
        <f t="shared" ref="N20:S20" si="13">N15</f>
        <v>79839</v>
      </c>
      <c r="O20" s="93">
        <f t="shared" si="13"/>
        <v>146371</v>
      </c>
      <c r="P20" s="93">
        <f t="shared" si="13"/>
        <v>165960</v>
      </c>
      <c r="Q20" s="93">
        <f t="shared" si="13"/>
        <v>175006</v>
      </c>
      <c r="R20" s="93">
        <f t="shared" si="13"/>
        <v>168824</v>
      </c>
      <c r="S20" s="93">
        <f t="shared" si="13"/>
        <v>185470</v>
      </c>
    </row>
    <row r="21" spans="2:19" ht="18" customHeight="1" x14ac:dyDescent="0.25">
      <c r="K21" s="85" t="s">
        <v>122</v>
      </c>
      <c r="L21" s="86"/>
      <c r="M21" s="86"/>
      <c r="N21" s="86">
        <f>C5</f>
        <v>139491.5</v>
      </c>
      <c r="O21" s="86">
        <f>M8</f>
        <v>171824</v>
      </c>
      <c r="P21" s="86">
        <f>N8</f>
        <v>203512</v>
      </c>
      <c r="Q21" s="86">
        <f>O8</f>
        <v>219218.5</v>
      </c>
      <c r="R21" s="86">
        <f>P8</f>
        <v>234171.5</v>
      </c>
      <c r="S21" s="86">
        <f>Q8</f>
        <v>255051.5</v>
      </c>
    </row>
    <row r="22" spans="2:19" ht="18" customHeight="1" x14ac:dyDescent="0.25">
      <c r="K22" s="87" t="s">
        <v>123</v>
      </c>
      <c r="L22" s="112"/>
      <c r="M22" s="112"/>
      <c r="N22" s="112">
        <f t="shared" ref="N22:S22" si="14">N20/N21</f>
        <v>0.57235745547219719</v>
      </c>
      <c r="O22" s="112">
        <f t="shared" si="14"/>
        <v>0.85186586274327214</v>
      </c>
      <c r="P22" s="112">
        <f t="shared" si="14"/>
        <v>0.8154801682456071</v>
      </c>
      <c r="Q22" s="112">
        <f t="shared" si="14"/>
        <v>0.79831766023396744</v>
      </c>
      <c r="R22" s="112">
        <f t="shared" si="14"/>
        <v>0.72094170298264304</v>
      </c>
      <c r="S22" s="112">
        <f t="shared" si="14"/>
        <v>0.72718647018347271</v>
      </c>
    </row>
    <row r="23" spans="2:19" ht="18" customHeight="1" x14ac:dyDescent="0.25">
      <c r="K23" s="85"/>
      <c r="L23" s="85"/>
      <c r="M23" s="85"/>
      <c r="N23" s="85"/>
      <c r="O23" s="85"/>
      <c r="P23" s="85"/>
      <c r="Q23" s="85"/>
      <c r="R23" s="85"/>
      <c r="S23" s="85"/>
    </row>
    <row r="24" spans="2:19" ht="18" customHeight="1" x14ac:dyDescent="0.25">
      <c r="K24" s="81"/>
      <c r="L24" s="81"/>
      <c r="M24" s="81"/>
      <c r="N24" s="81"/>
      <c r="O24" s="81"/>
      <c r="P24" s="83"/>
      <c r="Q24" s="82"/>
      <c r="R24" s="83"/>
      <c r="S24" s="83"/>
    </row>
    <row r="25" spans="2:19" ht="18" customHeight="1" x14ac:dyDescent="0.25">
      <c r="K25" s="84"/>
      <c r="L25" s="84"/>
      <c r="M25" s="84"/>
      <c r="N25" s="84">
        <f>O25-1</f>
        <v>2021</v>
      </c>
      <c r="O25" s="84">
        <f>P25-1</f>
        <v>2022</v>
      </c>
      <c r="P25" s="84">
        <f>Q25-1</f>
        <v>2023</v>
      </c>
      <c r="Q25" s="84">
        <f>R25-1</f>
        <v>2024</v>
      </c>
      <c r="R25" s="84">
        <f>S25-1</f>
        <v>2025</v>
      </c>
      <c r="S25" s="84">
        <v>2026</v>
      </c>
    </row>
    <row r="26" spans="2:19" ht="18" customHeight="1" x14ac:dyDescent="0.25">
      <c r="K26" s="85" t="s">
        <v>122</v>
      </c>
      <c r="L26" s="113"/>
      <c r="M26" s="113"/>
      <c r="N26" s="113">
        <f t="shared" ref="N26:S26" si="15">N21</f>
        <v>139491.5</v>
      </c>
      <c r="O26" s="113">
        <f t="shared" si="15"/>
        <v>171824</v>
      </c>
      <c r="P26" s="113">
        <f t="shared" si="15"/>
        <v>203512</v>
      </c>
      <c r="Q26" s="113">
        <f t="shared" si="15"/>
        <v>219218.5</v>
      </c>
      <c r="R26" s="113">
        <f t="shared" si="15"/>
        <v>234171.5</v>
      </c>
      <c r="S26" s="113">
        <f t="shared" si="15"/>
        <v>255051.5</v>
      </c>
    </row>
    <row r="27" spans="2:19" ht="18" customHeight="1" x14ac:dyDescent="0.25">
      <c r="K27" s="85" t="s">
        <v>124</v>
      </c>
      <c r="L27" s="93"/>
      <c r="M27" s="93"/>
      <c r="N27" s="93">
        <f>(('BALANCE SHEET'!C3+'BALANCE SHEET'!C4)+('BALANCE SHEET'!D3+'BALANCE SHEET'!D4))/2</f>
        <v>41104.5</v>
      </c>
      <c r="O27" s="93">
        <f>(('BALANCE SHEET'!D3+'BALANCE SHEET'!D4)+('BALANCE SHEET'!E3+'BALANCE SHEET'!E4))/2</f>
        <v>56453.5</v>
      </c>
      <c r="P27" s="93">
        <f>(('BALANCE SHEET'!E3+'BALANCE SHEET'!E4)+('BALANCE SHEET'!F3+'BALANCE SHEET'!F4))/2</f>
        <v>66496</v>
      </c>
      <c r="Q27" s="93">
        <f>(('BALANCE SHEET'!F3+'BALANCE SHEET'!F4)+('BALANCE SHEET'!G3+'BALANCE SHEET'!G4))/2</f>
        <v>71682</v>
      </c>
      <c r="R27" s="93">
        <f>(('BALANCE SHEET'!G3+'BALANCE SHEET'!G4)+('BALANCE SHEET'!H3+'BALANCE SHEET'!H4))/2</f>
        <v>78582.5</v>
      </c>
      <c r="S27" s="93">
        <f>(('BALANCE SHEET'!H3+'BALANCE SHEET'!H4)+('BALANCE SHEET'!I3+'BALANCE SHEET'!I4))/2</f>
        <v>89774.5</v>
      </c>
    </row>
    <row r="28" spans="2:19" ht="18" customHeight="1" x14ac:dyDescent="0.25">
      <c r="K28" s="87" t="s">
        <v>125</v>
      </c>
      <c r="L28" s="111"/>
      <c r="M28" s="111"/>
      <c r="N28" s="111">
        <f t="shared" ref="N28:S28" si="16">N26/N27</f>
        <v>3.3935822111934217</v>
      </c>
      <c r="O28" s="111">
        <f t="shared" si="16"/>
        <v>3.0436376841117028</v>
      </c>
      <c r="P28" s="111">
        <f t="shared" si="16"/>
        <v>3.060514918190568</v>
      </c>
      <c r="Q28" s="111">
        <f t="shared" si="16"/>
        <v>3.0582084763259956</v>
      </c>
      <c r="R28" s="111">
        <f t="shared" si="16"/>
        <v>2.9799446441637771</v>
      </c>
      <c r="S28" s="111">
        <f t="shared" si="16"/>
        <v>2.8410238987685812</v>
      </c>
    </row>
    <row r="29" spans="2:19" ht="18" customHeight="1" x14ac:dyDescent="0.25">
      <c r="K29" s="85"/>
      <c r="L29" s="85"/>
      <c r="M29" s="85"/>
      <c r="N29" s="85"/>
      <c r="O29" s="85"/>
      <c r="P29" s="85"/>
      <c r="Q29" s="85"/>
      <c r="R29" s="85"/>
      <c r="S29" s="85"/>
    </row>
    <row r="30" spans="2:19" ht="18" customHeight="1" x14ac:dyDescent="0.25">
      <c r="K30" s="87" t="s">
        <v>126</v>
      </c>
      <c r="L30" s="90"/>
      <c r="M30" s="90"/>
      <c r="N30" s="90">
        <f t="shared" ref="N30:S30" si="17">N16*N22*N28</f>
        <v>0.19153620649807199</v>
      </c>
      <c r="O30" s="90">
        <f t="shared" si="17"/>
        <v>0.37088931598572278</v>
      </c>
      <c r="P30" s="90">
        <f t="shared" si="17"/>
        <v>6.2244345524542832E-2</v>
      </c>
      <c r="Q30" s="90">
        <f t="shared" si="17"/>
        <v>0.12517786892106805</v>
      </c>
      <c r="R30" s="90">
        <f t="shared" si="17"/>
        <v>4.4424649253968766E-2</v>
      </c>
      <c r="S30" s="90">
        <f t="shared" si="17"/>
        <v>0.28413413608541399</v>
      </c>
    </row>
    <row r="34" spans="2:21" x14ac:dyDescent="0.2">
      <c r="B34" s="95" t="s">
        <v>46</v>
      </c>
      <c r="C34" s="96"/>
      <c r="D34" s="96"/>
      <c r="E34" s="96"/>
      <c r="F34" s="96"/>
      <c r="G34" s="96"/>
      <c r="H34" s="96"/>
      <c r="I34" s="96"/>
      <c r="J34" s="96"/>
      <c r="K34" s="96"/>
      <c r="L34" s="96"/>
      <c r="M34" s="96"/>
      <c r="N34" s="96"/>
      <c r="O34" s="96"/>
      <c r="P34" s="96"/>
      <c r="Q34" s="96"/>
      <c r="R34" s="96"/>
      <c r="S34" s="96"/>
      <c r="T34" s="96"/>
      <c r="U34" s="96"/>
    </row>
    <row r="37" spans="2:21" ht="18" customHeight="1" x14ac:dyDescent="0.25">
      <c r="B37" s="81"/>
      <c r="C37" s="82" t="s">
        <v>110</v>
      </c>
      <c r="D37" s="81"/>
      <c r="E37" s="82"/>
      <c r="F37" s="82"/>
      <c r="G37" s="83"/>
      <c r="H37" s="83"/>
    </row>
    <row r="38" spans="2:21" ht="18" customHeight="1" x14ac:dyDescent="0.25">
      <c r="B38" s="84" t="s">
        <v>111</v>
      </c>
      <c r="C38" s="84">
        <v>2021</v>
      </c>
      <c r="D38" s="84">
        <f>C38+1</f>
        <v>2022</v>
      </c>
      <c r="E38" s="84">
        <f>D38+1</f>
        <v>2023</v>
      </c>
      <c r="F38" s="84">
        <f>E38+1</f>
        <v>2024</v>
      </c>
      <c r="G38" s="84">
        <f>F38+1</f>
        <v>2025</v>
      </c>
      <c r="H38" s="84">
        <f>G38+1</f>
        <v>2026</v>
      </c>
      <c r="K38">
        <v>249149.12</v>
      </c>
      <c r="L38">
        <v>243909.19</v>
      </c>
      <c r="M38">
        <v>282421.67</v>
      </c>
      <c r="N38">
        <v>285395.78000000003</v>
      </c>
      <c r="O38">
        <v>269312.42</v>
      </c>
      <c r="P38">
        <v>275458.58</v>
      </c>
      <c r="Q38">
        <v>296514.62</v>
      </c>
    </row>
    <row r="39" spans="2:21" ht="18" customHeight="1" x14ac:dyDescent="0.25">
      <c r="B39" s="85" t="s">
        <v>112</v>
      </c>
      <c r="C39" s="86">
        <f>' P&amp;L'!Q2</f>
        <v>156477.4</v>
      </c>
      <c r="D39" s="86">
        <f>' P&amp;L'!R2</f>
        <v>243959.17</v>
      </c>
      <c r="E39" s="86">
        <f>' P&amp;L'!S2</f>
        <v>243352.69</v>
      </c>
      <c r="F39" s="86">
        <f>' P&amp;L'!T2</f>
        <v>229170.78</v>
      </c>
      <c r="G39" s="86">
        <f>' P&amp;L'!U2</f>
        <v>218542.51</v>
      </c>
      <c r="H39" s="86">
        <f>' P&amp;L'!V2</f>
        <v>232139.94</v>
      </c>
      <c r="L39">
        <f t="shared" ref="L39:Q39" si="18">AVERAGE(L38,K38)</f>
        <v>246529.155</v>
      </c>
      <c r="M39">
        <f t="shared" si="18"/>
        <v>263165.43</v>
      </c>
      <c r="N39">
        <f t="shared" si="18"/>
        <v>283908.72499999998</v>
      </c>
      <c r="O39">
        <f t="shared" si="18"/>
        <v>277354.09999999998</v>
      </c>
      <c r="P39">
        <f t="shared" si="18"/>
        <v>272385.5</v>
      </c>
      <c r="Q39">
        <f t="shared" si="18"/>
        <v>285986.59999999998</v>
      </c>
    </row>
    <row r="40" spans="2:21" ht="18" customHeight="1" x14ac:dyDescent="0.25">
      <c r="B40" s="85" t="s">
        <v>113</v>
      </c>
      <c r="C40" s="86">
        <f t="shared" ref="C40:H40" si="19">L39</f>
        <v>246529.155</v>
      </c>
      <c r="D40" s="86">
        <f t="shared" si="19"/>
        <v>263165.43</v>
      </c>
      <c r="E40" s="86">
        <f t="shared" si="19"/>
        <v>283908.72499999998</v>
      </c>
      <c r="F40" s="86">
        <f t="shared" si="19"/>
        <v>277354.09999999998</v>
      </c>
      <c r="G40" s="86">
        <f t="shared" si="19"/>
        <v>272385.5</v>
      </c>
      <c r="H40" s="86">
        <f t="shared" si="19"/>
        <v>285986.59999999998</v>
      </c>
    </row>
    <row r="41" spans="2:21" ht="18" customHeight="1" x14ac:dyDescent="0.25">
      <c r="B41" s="87" t="s">
        <v>111</v>
      </c>
      <c r="C41" s="90">
        <f t="shared" ref="C41:H41" si="20">C39/C40</f>
        <v>0.63472168230974546</v>
      </c>
      <c r="D41" s="90">
        <f t="shared" si="20"/>
        <v>0.92701830175794753</v>
      </c>
      <c r="E41" s="90">
        <f t="shared" si="20"/>
        <v>0.85715114954639038</v>
      </c>
      <c r="F41" s="90">
        <f t="shared" si="20"/>
        <v>0.82627507579660808</v>
      </c>
      <c r="G41" s="90">
        <f t="shared" si="20"/>
        <v>0.80232798735615518</v>
      </c>
      <c r="H41" s="90">
        <f t="shared" si="20"/>
        <v>0.81171614334377917</v>
      </c>
    </row>
    <row r="42" spans="2:21" ht="18" customHeight="1" x14ac:dyDescent="0.25">
      <c r="B42" s="88"/>
      <c r="C42" s="88"/>
      <c r="D42" s="88"/>
      <c r="E42" s="89"/>
      <c r="F42" s="89"/>
      <c r="G42" s="89"/>
      <c r="H42" s="89"/>
    </row>
    <row r="43" spans="2:21" ht="18" customHeight="1" x14ac:dyDescent="0.25">
      <c r="B43" s="81"/>
      <c r="C43" s="83" t="s">
        <v>114</v>
      </c>
      <c r="D43" s="81"/>
      <c r="E43" s="83"/>
      <c r="F43" s="82"/>
      <c r="G43" s="83"/>
      <c r="H43" s="83"/>
    </row>
    <row r="44" spans="2:21" ht="18" customHeight="1" x14ac:dyDescent="0.25">
      <c r="B44" s="84"/>
      <c r="C44" s="84">
        <v>2021</v>
      </c>
      <c r="D44" s="84">
        <f>C44+1</f>
        <v>2022</v>
      </c>
      <c r="E44" s="84">
        <f>D44+1</f>
        <v>2023</v>
      </c>
      <c r="F44" s="84">
        <f>E44+1</f>
        <v>2024</v>
      </c>
      <c r="G44" s="84">
        <f>F44+1</f>
        <v>2025</v>
      </c>
      <c r="H44" s="84">
        <f>G44+1</f>
        <v>2026</v>
      </c>
    </row>
    <row r="45" spans="2:21" ht="18" customHeight="1" x14ac:dyDescent="0.25">
      <c r="B45" s="85" t="s">
        <v>112</v>
      </c>
      <c r="C45" s="86">
        <f>' P&amp;L'!Q29</f>
        <v>8189.7899999999954</v>
      </c>
      <c r="D45" s="86">
        <f>' P&amp;L'!R29</f>
        <v>41749.320000000007</v>
      </c>
      <c r="E45" s="86">
        <f>' P&amp;L'!S29</f>
        <v>8075.3500000000022</v>
      </c>
      <c r="F45" s="86">
        <f>' P&amp;L'!T29</f>
        <v>-4909.609999999986</v>
      </c>
      <c r="G45" s="86">
        <f>' P&amp;L'!U29</f>
        <v>3173.7800000000134</v>
      </c>
      <c r="H45" s="86">
        <f>' P&amp;L'!V29</f>
        <v>10885.82</v>
      </c>
    </row>
    <row r="46" spans="2:21" ht="18" customHeight="1" x14ac:dyDescent="0.25">
      <c r="B46" s="85" t="s">
        <v>115</v>
      </c>
      <c r="C46" s="85">
        <f>' P&amp;L'!Q2</f>
        <v>156477.4</v>
      </c>
      <c r="D46" s="85">
        <f>' P&amp;L'!R2</f>
        <v>243959.17</v>
      </c>
      <c r="E46" s="85">
        <f>' P&amp;L'!S2</f>
        <v>243352.69</v>
      </c>
      <c r="F46" s="85">
        <f>' P&amp;L'!T2</f>
        <v>229170.78</v>
      </c>
      <c r="G46" s="85">
        <f>' P&amp;L'!U2</f>
        <v>218542.51</v>
      </c>
      <c r="H46" s="85">
        <f>' P&amp;L'!V2</f>
        <v>232139.94</v>
      </c>
    </row>
    <row r="47" spans="2:21" ht="18" customHeight="1" x14ac:dyDescent="0.25">
      <c r="B47" s="87" t="s">
        <v>116</v>
      </c>
      <c r="C47" s="90">
        <f t="shared" ref="C47:H47" si="21">C45/C46</f>
        <v>5.2338484662960885E-2</v>
      </c>
      <c r="D47" s="90">
        <f t="shared" si="21"/>
        <v>0.17113240711550218</v>
      </c>
      <c r="E47" s="90">
        <f t="shared" si="21"/>
        <v>3.3183730165464789E-2</v>
      </c>
      <c r="F47" s="90">
        <f t="shared" si="21"/>
        <v>-2.1423368197289315E-2</v>
      </c>
      <c r="G47" s="90">
        <f t="shared" si="21"/>
        <v>1.45224835204831E-2</v>
      </c>
      <c r="H47" s="90">
        <f t="shared" si="21"/>
        <v>4.6893352346003017E-2</v>
      </c>
    </row>
    <row r="48" spans="2:21" ht="18" customHeight="1" x14ac:dyDescent="0.25">
      <c r="B48" s="85"/>
      <c r="C48" s="85"/>
      <c r="D48" s="85"/>
      <c r="E48" s="85"/>
      <c r="F48" s="85"/>
      <c r="G48" s="85"/>
      <c r="H48" s="85"/>
    </row>
    <row r="49" spans="2:19" ht="18" customHeight="1" x14ac:dyDescent="0.25">
      <c r="B49" s="81"/>
      <c r="C49" s="81"/>
      <c r="D49" s="81"/>
      <c r="E49" s="83"/>
      <c r="F49" s="82"/>
      <c r="G49" s="83"/>
      <c r="H49" s="83"/>
    </row>
    <row r="50" spans="2:19" ht="18" customHeight="1" x14ac:dyDescent="0.25">
      <c r="B50" s="84"/>
      <c r="C50" s="84">
        <v>2021</v>
      </c>
      <c r="D50" s="84">
        <f>D44</f>
        <v>2022</v>
      </c>
      <c r="E50" s="84">
        <f>E44</f>
        <v>2023</v>
      </c>
      <c r="F50" s="84">
        <f>F44</f>
        <v>2024</v>
      </c>
      <c r="G50" s="84">
        <f>G44</f>
        <v>2025</v>
      </c>
      <c r="H50" s="84">
        <f>H44</f>
        <v>2026</v>
      </c>
      <c r="K50" s="81"/>
      <c r="L50" s="81"/>
      <c r="M50" s="81"/>
      <c r="N50" s="83"/>
      <c r="O50" s="81"/>
      <c r="P50" s="83"/>
      <c r="Q50" s="82"/>
      <c r="R50" s="83"/>
      <c r="S50" s="83"/>
    </row>
    <row r="51" spans="2:19" ht="18" customHeight="1" x14ac:dyDescent="0.25">
      <c r="B51" s="85" t="s">
        <v>115</v>
      </c>
      <c r="C51" s="85">
        <f t="shared" ref="C51:H51" si="22">C46</f>
        <v>156477.4</v>
      </c>
      <c r="D51" s="85">
        <f t="shared" si="22"/>
        <v>243959.17</v>
      </c>
      <c r="E51" s="85">
        <f t="shared" si="22"/>
        <v>243352.69</v>
      </c>
      <c r="F51" s="85">
        <f t="shared" si="22"/>
        <v>229170.78</v>
      </c>
      <c r="G51" s="85">
        <f t="shared" si="22"/>
        <v>218542.51</v>
      </c>
      <c r="H51" s="85">
        <f t="shared" si="22"/>
        <v>232139.94</v>
      </c>
      <c r="K51" s="84"/>
      <c r="L51" s="84"/>
      <c r="M51" s="84"/>
      <c r="N51" s="84">
        <f>O51-1</f>
        <v>2021</v>
      </c>
      <c r="O51" s="84">
        <f>P51-1</f>
        <v>2022</v>
      </c>
      <c r="P51" s="84">
        <f>Q51-1</f>
        <v>2023</v>
      </c>
      <c r="Q51" s="84">
        <f>R51-1</f>
        <v>2024</v>
      </c>
      <c r="R51" s="84">
        <f>S51-1</f>
        <v>2025</v>
      </c>
      <c r="S51" s="84">
        <v>2026</v>
      </c>
    </row>
    <row r="52" spans="2:19" ht="18" customHeight="1" x14ac:dyDescent="0.25">
      <c r="B52" s="85" t="s">
        <v>119</v>
      </c>
      <c r="C52" s="86">
        <f t="shared" ref="C52:H52" si="23">C40</f>
        <v>246529.155</v>
      </c>
      <c r="D52" s="86">
        <f t="shared" si="23"/>
        <v>263165.43</v>
      </c>
      <c r="E52" s="86">
        <f t="shared" si="23"/>
        <v>283908.72499999998</v>
      </c>
      <c r="F52" s="86">
        <f t="shared" si="23"/>
        <v>277354.09999999998</v>
      </c>
      <c r="G52" s="86">
        <f t="shared" si="23"/>
        <v>272385.5</v>
      </c>
      <c r="H52" s="86">
        <f t="shared" si="23"/>
        <v>285986.59999999998</v>
      </c>
      <c r="K52" s="85" t="s">
        <v>117</v>
      </c>
      <c r="L52" s="86"/>
      <c r="M52" s="86"/>
      <c r="N52" s="86">
        <f t="shared" ref="N52:S52" si="24">C39</f>
        <v>156477.4</v>
      </c>
      <c r="O52" s="86">
        <f t="shared" si="24"/>
        <v>243959.17</v>
      </c>
      <c r="P52" s="86">
        <f t="shared" si="24"/>
        <v>243352.69</v>
      </c>
      <c r="Q52" s="86">
        <f t="shared" si="24"/>
        <v>229170.78</v>
      </c>
      <c r="R52" s="86">
        <f t="shared" si="24"/>
        <v>218542.51</v>
      </c>
      <c r="S52" s="86">
        <f t="shared" si="24"/>
        <v>232139.94</v>
      </c>
    </row>
    <row r="53" spans="2:19" ht="18" customHeight="1" x14ac:dyDescent="0.25">
      <c r="B53" s="87" t="s">
        <v>120</v>
      </c>
      <c r="C53" s="111">
        <f t="shared" ref="C53:H53" si="25">C51/C52</f>
        <v>0.63472168230974546</v>
      </c>
      <c r="D53" s="111">
        <f t="shared" si="25"/>
        <v>0.92701830175794753</v>
      </c>
      <c r="E53" s="111">
        <f t="shared" si="25"/>
        <v>0.85715114954639038</v>
      </c>
      <c r="F53" s="111">
        <f t="shared" si="25"/>
        <v>0.82627507579660808</v>
      </c>
      <c r="G53" s="111">
        <f t="shared" si="25"/>
        <v>0.80232798735615518</v>
      </c>
      <c r="H53" s="111">
        <f t="shared" si="25"/>
        <v>0.81171614334377917</v>
      </c>
      <c r="K53" s="85" t="s">
        <v>115</v>
      </c>
      <c r="L53" s="93"/>
      <c r="M53" s="93"/>
      <c r="N53" s="93">
        <f t="shared" ref="N53:S53" si="26">C46</f>
        <v>156477.4</v>
      </c>
      <c r="O53" s="93">
        <f t="shared" si="26"/>
        <v>243959.17</v>
      </c>
      <c r="P53" s="93">
        <f t="shared" si="26"/>
        <v>243352.69</v>
      </c>
      <c r="Q53" s="93">
        <f t="shared" si="26"/>
        <v>229170.78</v>
      </c>
      <c r="R53" s="93">
        <f t="shared" si="26"/>
        <v>218542.51</v>
      </c>
      <c r="S53" s="93">
        <f t="shared" si="26"/>
        <v>232139.94</v>
      </c>
    </row>
    <row r="54" spans="2:19" ht="18" customHeight="1" x14ac:dyDescent="0.25">
      <c r="B54" s="88"/>
      <c r="C54" s="91"/>
      <c r="D54" s="91"/>
      <c r="E54" s="91"/>
      <c r="F54" s="91"/>
      <c r="G54" s="91"/>
      <c r="H54" s="91"/>
      <c r="K54" s="87" t="s">
        <v>118</v>
      </c>
      <c r="L54" s="90"/>
      <c r="M54" s="90"/>
      <c r="N54" s="90">
        <f t="shared" ref="N54:S54" si="27">N52/N53</f>
        <v>1</v>
      </c>
      <c r="O54" s="90">
        <f t="shared" si="27"/>
        <v>1</v>
      </c>
      <c r="P54" s="90">
        <f t="shared" si="27"/>
        <v>1</v>
      </c>
      <c r="Q54" s="90">
        <f t="shared" si="27"/>
        <v>1</v>
      </c>
      <c r="R54" s="90">
        <f t="shared" si="27"/>
        <v>1</v>
      </c>
      <c r="S54" s="90">
        <f t="shared" si="27"/>
        <v>1</v>
      </c>
    </row>
    <row r="55" spans="2:19" ht="18" customHeight="1" x14ac:dyDescent="0.25">
      <c r="B55" s="87" t="s">
        <v>121</v>
      </c>
      <c r="C55" s="90">
        <f t="shared" ref="C55:H55" si="28">C47*C53</f>
        <v>3.3220371034817342E-2</v>
      </c>
      <c r="D55" s="90">
        <f t="shared" si="28"/>
        <v>0.15864287341996253</v>
      </c>
      <c r="E55" s="90">
        <f t="shared" si="28"/>
        <v>2.8443472457565375E-2</v>
      </c>
      <c r="F55" s="90">
        <f t="shared" si="28"/>
        <v>-1.7701595181033872E-2</v>
      </c>
      <c r="G55" s="90">
        <f t="shared" si="28"/>
        <v>1.1651794974402137E-2</v>
      </c>
      <c r="H55" s="90">
        <f t="shared" si="28"/>
        <v>3.806409111475853E-2</v>
      </c>
      <c r="K55" s="85"/>
      <c r="L55" s="85"/>
      <c r="M55" s="85"/>
      <c r="N55" s="85"/>
      <c r="O55" s="85"/>
      <c r="P55" s="85"/>
      <c r="Q55" s="85"/>
      <c r="R55" s="85"/>
      <c r="S55" s="85"/>
    </row>
    <row r="56" spans="2:19" ht="18" customHeight="1" x14ac:dyDescent="0.25">
      <c r="K56" s="81"/>
      <c r="L56" s="81"/>
      <c r="M56" s="81"/>
      <c r="N56" s="81"/>
      <c r="O56" s="81"/>
      <c r="P56" s="83"/>
      <c r="Q56" s="82"/>
      <c r="R56" s="83"/>
      <c r="S56" s="83"/>
    </row>
    <row r="57" spans="2:19" ht="18" customHeight="1" x14ac:dyDescent="0.25">
      <c r="K57" s="84"/>
      <c r="L57" s="84"/>
      <c r="M57" s="84"/>
      <c r="N57" s="84">
        <v>2020</v>
      </c>
      <c r="O57" s="84">
        <f>N57+1</f>
        <v>2021</v>
      </c>
      <c r="P57" s="84">
        <f>O57+1</f>
        <v>2022</v>
      </c>
      <c r="Q57" s="84">
        <f>P57+1</f>
        <v>2023</v>
      </c>
      <c r="R57" s="84">
        <f>Q57+1</f>
        <v>2024</v>
      </c>
      <c r="S57" s="84">
        <f>R57+1</f>
        <v>2025</v>
      </c>
    </row>
    <row r="58" spans="2:19" ht="18" customHeight="1" x14ac:dyDescent="0.25">
      <c r="K58" s="85" t="s">
        <v>115</v>
      </c>
      <c r="L58" s="93"/>
      <c r="M58" s="93"/>
      <c r="N58" s="93">
        <f t="shared" ref="N58:S58" si="29">N53</f>
        <v>156477.4</v>
      </c>
      <c r="O58" s="93">
        <f t="shared" si="29"/>
        <v>243959.17</v>
      </c>
      <c r="P58" s="93">
        <f t="shared" si="29"/>
        <v>243352.69</v>
      </c>
      <c r="Q58" s="93">
        <f t="shared" si="29"/>
        <v>229170.78</v>
      </c>
      <c r="R58" s="93">
        <f t="shared" si="29"/>
        <v>218542.51</v>
      </c>
      <c r="S58" s="93">
        <f t="shared" si="29"/>
        <v>232139.94</v>
      </c>
    </row>
    <row r="59" spans="2:19" ht="18" customHeight="1" x14ac:dyDescent="0.25">
      <c r="K59" s="85" t="s">
        <v>122</v>
      </c>
      <c r="L59" s="86"/>
      <c r="M59" s="86"/>
      <c r="N59" s="86">
        <f t="shared" ref="N59:S59" si="30">C52</f>
        <v>246529.155</v>
      </c>
      <c r="O59" s="86">
        <f t="shared" si="30"/>
        <v>263165.43</v>
      </c>
      <c r="P59" s="86">
        <f t="shared" si="30"/>
        <v>283908.72499999998</v>
      </c>
      <c r="Q59" s="86">
        <f t="shared" si="30"/>
        <v>277354.09999999998</v>
      </c>
      <c r="R59" s="86">
        <f t="shared" si="30"/>
        <v>272385.5</v>
      </c>
      <c r="S59" s="86">
        <f t="shared" si="30"/>
        <v>285986.59999999998</v>
      </c>
    </row>
    <row r="60" spans="2:19" ht="18" customHeight="1" x14ac:dyDescent="0.25">
      <c r="K60" s="87" t="s">
        <v>123</v>
      </c>
      <c r="L60" s="112"/>
      <c r="M60" s="112"/>
      <c r="N60" s="112">
        <f t="shared" ref="N60:S60" si="31">N58/N59</f>
        <v>0.63472168230974546</v>
      </c>
      <c r="O60" s="112">
        <f t="shared" si="31"/>
        <v>0.92701830175794753</v>
      </c>
      <c r="P60" s="112">
        <f t="shared" si="31"/>
        <v>0.85715114954639038</v>
      </c>
      <c r="Q60" s="112">
        <f t="shared" si="31"/>
        <v>0.82627507579660808</v>
      </c>
      <c r="R60" s="112">
        <f t="shared" si="31"/>
        <v>0.80232798735615518</v>
      </c>
      <c r="S60" s="112">
        <f t="shared" si="31"/>
        <v>0.81171614334377917</v>
      </c>
    </row>
    <row r="61" spans="2:19" ht="18" customHeight="1" x14ac:dyDescent="0.25">
      <c r="K61" s="85"/>
      <c r="L61" s="85"/>
      <c r="M61" s="85"/>
      <c r="N61" s="85"/>
      <c r="O61" s="85"/>
      <c r="P61" s="85"/>
      <c r="Q61" s="85"/>
      <c r="R61" s="85"/>
      <c r="S61" s="85"/>
    </row>
    <row r="62" spans="2:19" ht="18" customHeight="1" x14ac:dyDescent="0.25">
      <c r="K62" s="81"/>
      <c r="L62" s="81"/>
      <c r="M62" s="81"/>
      <c r="N62" s="81"/>
      <c r="O62" s="81"/>
      <c r="P62" s="83"/>
      <c r="Q62" s="82"/>
      <c r="R62" s="83"/>
      <c r="S62" s="83"/>
    </row>
    <row r="63" spans="2:19" ht="18" customHeight="1" x14ac:dyDescent="0.25">
      <c r="K63" s="84"/>
      <c r="L63" s="84"/>
      <c r="M63" s="84"/>
      <c r="N63" s="84">
        <f>O63-1</f>
        <v>2021</v>
      </c>
      <c r="O63" s="84">
        <f>P63-1</f>
        <v>2022</v>
      </c>
      <c r="P63" s="84">
        <f>Q63-1</f>
        <v>2023</v>
      </c>
      <c r="Q63" s="84">
        <f>R63-1</f>
        <v>2024</v>
      </c>
      <c r="R63" s="84">
        <f>S63-1</f>
        <v>2025</v>
      </c>
      <c r="S63" s="84">
        <v>2026</v>
      </c>
    </row>
    <row r="64" spans="2:19" ht="18" customHeight="1" x14ac:dyDescent="0.25">
      <c r="K64" s="85" t="s">
        <v>122</v>
      </c>
      <c r="L64" s="113"/>
      <c r="M64" s="113"/>
      <c r="N64" s="113">
        <f t="shared" ref="N64:S64" si="32">N59</f>
        <v>246529.155</v>
      </c>
      <c r="O64" s="113">
        <f t="shared" si="32"/>
        <v>263165.43</v>
      </c>
      <c r="P64" s="113">
        <f t="shared" si="32"/>
        <v>283908.72499999998</v>
      </c>
      <c r="Q64" s="113">
        <f t="shared" si="32"/>
        <v>277354.09999999998</v>
      </c>
      <c r="R64" s="113">
        <f t="shared" si="32"/>
        <v>272385.5</v>
      </c>
      <c r="S64" s="113">
        <f t="shared" si="32"/>
        <v>285986.59999999998</v>
      </c>
    </row>
    <row r="65" spans="2:20" ht="18" customHeight="1" x14ac:dyDescent="0.25">
      <c r="K65" s="85" t="s">
        <v>124</v>
      </c>
      <c r="L65" s="93"/>
      <c r="M65" s="93"/>
      <c r="N65" s="93">
        <f>(('BALANCE SHEET'!C22+'BALANCE SHEET'!C23)+('BALANCE SHEET'!D22+'BALANCE SHEET'!D23))/2</f>
        <v>73907.535000000003</v>
      </c>
      <c r="O65" s="93">
        <f>(('BALANCE SHEET'!D22+'BALANCE SHEET'!D23)+('BALANCE SHEET'!E22+'BALANCE SHEET'!E23))/2</f>
        <v>94340.904999999999</v>
      </c>
      <c r="P65" s="93">
        <f>(('BALANCE SHEET'!E22+'BALANCE SHEET'!E23)+('BALANCE SHEET'!F22+'BALANCE SHEET'!F23))/2</f>
        <v>108762.57</v>
      </c>
      <c r="Q65" s="93">
        <f>(('BALANCE SHEET'!F22+'BALANCE SHEET'!F23)+('BALANCE SHEET'!G22+'BALANCE SHEET'!G23))/2</f>
        <v>97558.930000000008</v>
      </c>
      <c r="R65" s="93">
        <f>(('BALANCE SHEET'!G22+'BALANCE SHEET'!G23)+('BALANCE SHEET'!H22+'BALANCE SHEET'!H23))/2</f>
        <v>91602.695000000007</v>
      </c>
      <c r="S65" s="93">
        <f>(('BALANCE SHEET'!H22+'BALANCE SHEET'!H23)+('BALANCE SHEET'!I22+'BALANCE SHEET'!I23))/2</f>
        <v>96668.640000000014</v>
      </c>
    </row>
    <row r="66" spans="2:20" ht="18" customHeight="1" x14ac:dyDescent="0.25">
      <c r="K66" s="87" t="s">
        <v>125</v>
      </c>
      <c r="L66" s="111"/>
      <c r="M66" s="111"/>
      <c r="N66" s="111">
        <f t="shared" ref="N66:S66" si="33">N64/N65</f>
        <v>3.3356430437031892</v>
      </c>
      <c r="O66" s="111">
        <f t="shared" si="33"/>
        <v>2.7895156401139038</v>
      </c>
      <c r="P66" s="111">
        <f t="shared" si="33"/>
        <v>2.6103532217011787</v>
      </c>
      <c r="Q66" s="111">
        <f t="shared" si="33"/>
        <v>2.8429391343262984</v>
      </c>
      <c r="R66" s="111">
        <f t="shared" si="33"/>
        <v>2.9735533435997703</v>
      </c>
      <c r="S66" s="111">
        <f t="shared" si="33"/>
        <v>2.9584216763575029</v>
      </c>
    </row>
    <row r="67" spans="2:20" ht="18" customHeight="1" x14ac:dyDescent="0.25">
      <c r="K67" s="85"/>
      <c r="L67" s="85"/>
      <c r="M67" s="85"/>
      <c r="N67" s="85"/>
      <c r="O67" s="85"/>
      <c r="P67" s="85"/>
      <c r="Q67" s="85"/>
      <c r="R67" s="85"/>
      <c r="S67" s="85"/>
    </row>
    <row r="68" spans="2:20" ht="18" customHeight="1" x14ac:dyDescent="0.25">
      <c r="K68" s="87" t="s">
        <v>126</v>
      </c>
      <c r="L68" s="90"/>
      <c r="M68" s="90"/>
      <c r="N68" s="90">
        <f t="shared" ref="N68:S68" si="34">N54*N60*N66</f>
        <v>2.1172049642840882</v>
      </c>
      <c r="O68" s="90">
        <f t="shared" si="34"/>
        <v>2.5859320514256252</v>
      </c>
      <c r="P68" s="90">
        <f t="shared" si="34"/>
        <v>2.2374672647032887</v>
      </c>
      <c r="Q68" s="90">
        <f t="shared" si="34"/>
        <v>2.3490497487006055</v>
      </c>
      <c r="R68" s="90">
        <f t="shared" si="34"/>
        <v>2.3857650694665695</v>
      </c>
      <c r="S68" s="90">
        <f t="shared" si="34"/>
        <v>2.4013986335175503</v>
      </c>
    </row>
    <row r="72" spans="2:20" x14ac:dyDescent="0.2">
      <c r="B72" s="96"/>
      <c r="C72" s="96"/>
      <c r="D72" s="96"/>
      <c r="E72" s="96"/>
      <c r="F72" s="96"/>
      <c r="G72" s="96"/>
      <c r="H72" s="96"/>
      <c r="I72" s="96"/>
      <c r="J72" s="96"/>
      <c r="K72" s="96"/>
      <c r="L72" s="96"/>
      <c r="M72" s="96"/>
      <c r="N72" s="96"/>
      <c r="O72" s="96"/>
      <c r="P72" s="96"/>
      <c r="Q72" s="96"/>
      <c r="R72" s="96"/>
      <c r="S72" s="96"/>
      <c r="T72" s="96"/>
    </row>
    <row r="74" spans="2:20" ht="18" customHeight="1" x14ac:dyDescent="0.25">
      <c r="B74" s="81"/>
      <c r="C74" s="82" t="s">
        <v>110</v>
      </c>
      <c r="D74" s="81"/>
      <c r="E74" s="82"/>
      <c r="F74" s="82"/>
      <c r="G74" s="83"/>
      <c r="H74" s="83"/>
    </row>
    <row r="75" spans="2:20" ht="18" customHeight="1" x14ac:dyDescent="0.25">
      <c r="B75" s="84" t="s">
        <v>111</v>
      </c>
      <c r="C75" s="84">
        <v>2021</v>
      </c>
      <c r="D75" s="84">
        <f>C75+1</f>
        <v>2022</v>
      </c>
      <c r="E75" s="84">
        <f>D75+1</f>
        <v>2023</v>
      </c>
      <c r="F75" s="84">
        <f>E75+1</f>
        <v>2024</v>
      </c>
      <c r="G75" s="84">
        <f>F75+1</f>
        <v>2025</v>
      </c>
      <c r="H75" s="84">
        <f>G75+1</f>
        <v>2026</v>
      </c>
    </row>
    <row r="76" spans="2:20" ht="18" customHeight="1" x14ac:dyDescent="0.25">
      <c r="B76" s="85" t="s">
        <v>112</v>
      </c>
      <c r="C76" s="86">
        <f>' P&amp;L'!AD29</f>
        <v>4267.0400000000009</v>
      </c>
      <c r="D76" s="86">
        <f>' P&amp;L'!AE29</f>
        <v>6765.9599999999973</v>
      </c>
      <c r="E76" s="86">
        <f>' P&amp;L'!AF29</f>
        <v>3974.0899999999947</v>
      </c>
      <c r="F76" s="86">
        <f>' P&amp;L'!AG29</f>
        <v>5943.3200000000043</v>
      </c>
      <c r="G76" s="86">
        <f>' P&amp;L'!AH29</f>
        <v>2845.6800000000012</v>
      </c>
      <c r="H76" s="86">
        <f>' P&amp;L'!AI29</f>
        <v>3360.869999999989</v>
      </c>
    </row>
    <row r="77" spans="2:20" ht="18" customHeight="1" x14ac:dyDescent="0.25">
      <c r="B77" s="85" t="s">
        <v>113</v>
      </c>
      <c r="C77" s="86">
        <f t="shared" ref="C77:H77" si="35">L79</f>
        <v>83791.19</v>
      </c>
      <c r="D77" s="86">
        <f t="shared" si="35"/>
        <v>77241.984999999986</v>
      </c>
      <c r="E77" s="86">
        <f t="shared" si="35"/>
        <v>73035.384999999995</v>
      </c>
      <c r="F77" s="86">
        <f t="shared" si="35"/>
        <v>74051.63</v>
      </c>
      <c r="G77" s="86">
        <f t="shared" si="35"/>
        <v>82220.834999999992</v>
      </c>
      <c r="H77" s="86">
        <f t="shared" si="35"/>
        <v>91700.290000000008</v>
      </c>
      <c r="K77" s="74">
        <v>43921</v>
      </c>
      <c r="L77" s="74">
        <v>44286</v>
      </c>
      <c r="M77" s="74">
        <v>44651</v>
      </c>
      <c r="N77" s="74">
        <v>45016</v>
      </c>
      <c r="O77" s="74">
        <v>45382</v>
      </c>
      <c r="P77" s="74">
        <v>45747</v>
      </c>
      <c r="Q77" s="74">
        <v>46112</v>
      </c>
    </row>
    <row r="78" spans="2:20" ht="18" customHeight="1" x14ac:dyDescent="0.25">
      <c r="B78" s="87" t="s">
        <v>111</v>
      </c>
      <c r="C78" s="90">
        <f t="shared" ref="C78:H78" si="36">C76/C77</f>
        <v>5.0924685518847518E-2</v>
      </c>
      <c r="D78" s="90">
        <f t="shared" si="36"/>
        <v>8.7594330984632235E-2</v>
      </c>
      <c r="E78" s="90">
        <f t="shared" si="36"/>
        <v>5.4413213540258534E-2</v>
      </c>
      <c r="F78" s="90">
        <f t="shared" si="36"/>
        <v>8.0259138117553974E-2</v>
      </c>
      <c r="G78" s="90">
        <f t="shared" si="36"/>
        <v>3.4610205551913957E-2</v>
      </c>
      <c r="H78" s="90">
        <f t="shared" si="36"/>
        <v>3.6650592926150929E-2</v>
      </c>
      <c r="K78" s="26">
        <v>89741.95</v>
      </c>
      <c r="L78" s="26">
        <v>77840.429999999993</v>
      </c>
      <c r="M78" s="26">
        <v>76643.539999999994</v>
      </c>
      <c r="N78" s="26">
        <v>69427.23</v>
      </c>
      <c r="O78" s="26">
        <v>78676.03</v>
      </c>
      <c r="P78" s="26">
        <v>85765.64</v>
      </c>
      <c r="Q78" s="26">
        <v>97634.94</v>
      </c>
    </row>
    <row r="79" spans="2:20" ht="18" customHeight="1" x14ac:dyDescent="0.25">
      <c r="B79" s="88"/>
      <c r="C79" s="88"/>
      <c r="D79" s="88"/>
      <c r="E79" s="89"/>
      <c r="F79" s="89"/>
      <c r="G79" s="89"/>
      <c r="H79" s="89"/>
      <c r="L79" s="97">
        <f t="shared" ref="L79:Q79" si="37">AVERAGE(K78,L78)</f>
        <v>83791.19</v>
      </c>
      <c r="M79" s="97">
        <f t="shared" si="37"/>
        <v>77241.984999999986</v>
      </c>
      <c r="N79" s="97">
        <f t="shared" si="37"/>
        <v>73035.384999999995</v>
      </c>
      <c r="O79" s="97">
        <f t="shared" si="37"/>
        <v>74051.63</v>
      </c>
      <c r="P79" s="97">
        <f t="shared" si="37"/>
        <v>82220.834999999992</v>
      </c>
      <c r="Q79" s="97">
        <f t="shared" si="37"/>
        <v>91700.290000000008</v>
      </c>
    </row>
    <row r="80" spans="2:20" ht="18" customHeight="1" x14ac:dyDescent="0.25">
      <c r="B80" s="81"/>
      <c r="C80" s="83" t="s">
        <v>114</v>
      </c>
      <c r="D80" s="81"/>
      <c r="E80" s="83"/>
      <c r="F80" s="82"/>
      <c r="G80" s="83"/>
      <c r="H80" s="83"/>
    </row>
    <row r="81" spans="2:19" ht="18" customHeight="1" x14ac:dyDescent="0.25">
      <c r="B81" s="84"/>
      <c r="C81" s="84">
        <v>2021</v>
      </c>
      <c r="D81" s="84">
        <f>C81+1</f>
        <v>2022</v>
      </c>
      <c r="E81" s="84">
        <f>D81+1</f>
        <v>2023</v>
      </c>
      <c r="F81" s="84">
        <f>E81+1</f>
        <v>2024</v>
      </c>
      <c r="G81" s="84">
        <f>F81+1</f>
        <v>2025</v>
      </c>
      <c r="H81" s="84">
        <f>G81+1</f>
        <v>2026</v>
      </c>
    </row>
    <row r="82" spans="2:19" ht="18" customHeight="1" x14ac:dyDescent="0.25">
      <c r="B82" s="85" t="s">
        <v>112</v>
      </c>
      <c r="C82" s="86">
        <f>' P&amp;L'!AD29</f>
        <v>4267.0400000000009</v>
      </c>
      <c r="D82" s="86">
        <f>' P&amp;L'!AE29</f>
        <v>6765.9599999999973</v>
      </c>
      <c r="E82" s="86">
        <f>' P&amp;L'!AF29</f>
        <v>3974.0899999999947</v>
      </c>
      <c r="F82" s="86">
        <f>' P&amp;L'!AG29</f>
        <v>5943.3200000000043</v>
      </c>
      <c r="G82" s="86">
        <f>' P&amp;L'!AH29</f>
        <v>2845.6800000000012</v>
      </c>
      <c r="H82" s="86">
        <f>' P&amp;L'!AI29</f>
        <v>3360.869999999989</v>
      </c>
    </row>
    <row r="83" spans="2:19" ht="18" customHeight="1" x14ac:dyDescent="0.25">
      <c r="B83" s="85" t="s">
        <v>115</v>
      </c>
      <c r="C83" s="85">
        <f>' P&amp;L'!AD2</f>
        <v>34578.9</v>
      </c>
      <c r="D83" s="85">
        <f>' P&amp;L'!AE2</f>
        <v>51165.64</v>
      </c>
      <c r="E83" s="85">
        <f>' P&amp;L'!AF2</f>
        <v>53211.519999999997</v>
      </c>
      <c r="F83" s="85">
        <f>' P&amp;L'!AG2</f>
        <v>50354.45</v>
      </c>
      <c r="G83" s="85">
        <f>' P&amp;L'!AH2</f>
        <v>50128.66</v>
      </c>
      <c r="H83" s="85">
        <f>' P&amp;L'!AI2</f>
        <v>53454.85</v>
      </c>
    </row>
    <row r="84" spans="2:19" ht="18" customHeight="1" x14ac:dyDescent="0.25">
      <c r="B84" s="87" t="s">
        <v>116</v>
      </c>
      <c r="C84" s="90">
        <f t="shared" ref="C84:H84" si="38">C82/C83</f>
        <v>0.12340010815844346</v>
      </c>
      <c r="D84" s="90">
        <f t="shared" si="38"/>
        <v>0.13223639927107328</v>
      </c>
      <c r="E84" s="90">
        <f t="shared" si="38"/>
        <v>7.4684767508990432E-2</v>
      </c>
      <c r="F84" s="90">
        <f t="shared" si="38"/>
        <v>0.11802968754499363</v>
      </c>
      <c r="G84" s="90">
        <f t="shared" si="38"/>
        <v>5.676752580260476E-2</v>
      </c>
      <c r="H84" s="90">
        <f t="shared" si="38"/>
        <v>6.2873060161986974E-2</v>
      </c>
    </row>
    <row r="85" spans="2:19" ht="18" customHeight="1" x14ac:dyDescent="0.25">
      <c r="B85" s="85"/>
      <c r="C85" s="85"/>
      <c r="D85" s="85"/>
      <c r="E85" s="85"/>
      <c r="F85" s="85"/>
      <c r="G85" s="85"/>
      <c r="H85" s="85"/>
    </row>
    <row r="86" spans="2:19" ht="18" customHeight="1" x14ac:dyDescent="0.25">
      <c r="B86" s="81"/>
      <c r="C86" s="81"/>
      <c r="D86" s="81"/>
      <c r="E86" s="83"/>
      <c r="F86" s="82"/>
      <c r="G86" s="83"/>
      <c r="H86" s="83"/>
      <c r="K86" s="81"/>
      <c r="L86" s="81"/>
      <c r="M86" s="81"/>
      <c r="N86" s="83"/>
      <c r="O86" s="81"/>
      <c r="P86" s="83"/>
      <c r="Q86" s="82"/>
      <c r="R86" s="83"/>
      <c r="S86" s="83"/>
    </row>
    <row r="87" spans="2:19" ht="18" customHeight="1" x14ac:dyDescent="0.25">
      <c r="B87" s="84"/>
      <c r="C87" s="84">
        <v>2021</v>
      </c>
      <c r="D87" s="84">
        <f>D81</f>
        <v>2022</v>
      </c>
      <c r="E87" s="84">
        <f>E81</f>
        <v>2023</v>
      </c>
      <c r="F87" s="84">
        <f>F81</f>
        <v>2024</v>
      </c>
      <c r="G87" s="84">
        <f>G81</f>
        <v>2025</v>
      </c>
      <c r="H87" s="84">
        <f>H81</f>
        <v>2026</v>
      </c>
      <c r="K87" s="84"/>
      <c r="L87" s="84"/>
      <c r="M87" s="84"/>
      <c r="N87" s="84">
        <f>O87-1</f>
        <v>2021</v>
      </c>
      <c r="O87" s="84">
        <f>P87-1</f>
        <v>2022</v>
      </c>
      <c r="P87" s="84">
        <f>Q87-1</f>
        <v>2023</v>
      </c>
      <c r="Q87" s="84">
        <f>R87-1</f>
        <v>2024</v>
      </c>
      <c r="R87" s="84">
        <f>S87-1</f>
        <v>2025</v>
      </c>
      <c r="S87" s="84">
        <v>2026</v>
      </c>
    </row>
    <row r="88" spans="2:19" ht="18" customHeight="1" x14ac:dyDescent="0.25">
      <c r="B88" s="85" t="s">
        <v>115</v>
      </c>
      <c r="C88" s="85">
        <f t="shared" ref="C88:H88" si="39">C83</f>
        <v>34578.9</v>
      </c>
      <c r="D88" s="85">
        <f t="shared" si="39"/>
        <v>51165.64</v>
      </c>
      <c r="E88" s="85">
        <f t="shared" si="39"/>
        <v>53211.519999999997</v>
      </c>
      <c r="F88" s="85">
        <f t="shared" si="39"/>
        <v>50354.45</v>
      </c>
      <c r="G88" s="85">
        <f t="shared" si="39"/>
        <v>50128.66</v>
      </c>
      <c r="H88" s="85">
        <f t="shared" si="39"/>
        <v>53454.85</v>
      </c>
      <c r="K88" s="85" t="s">
        <v>117</v>
      </c>
      <c r="L88" s="86"/>
      <c r="M88" s="86"/>
      <c r="N88" s="86">
        <f t="shared" ref="N88:S88" si="40">C76</f>
        <v>4267.0400000000009</v>
      </c>
      <c r="O88" s="86">
        <f t="shared" si="40"/>
        <v>6765.9599999999973</v>
      </c>
      <c r="P88" s="86">
        <f t="shared" si="40"/>
        <v>3974.0899999999947</v>
      </c>
      <c r="Q88" s="86">
        <f t="shared" si="40"/>
        <v>5943.3200000000043</v>
      </c>
      <c r="R88" s="86">
        <f t="shared" si="40"/>
        <v>2845.6800000000012</v>
      </c>
      <c r="S88" s="86">
        <f t="shared" si="40"/>
        <v>3360.869999999989</v>
      </c>
    </row>
    <row r="89" spans="2:19" ht="18" customHeight="1" x14ac:dyDescent="0.25">
      <c r="B89" s="85" t="s">
        <v>119</v>
      </c>
      <c r="C89" s="86">
        <f t="shared" ref="C89:H89" si="41">C77</f>
        <v>83791.19</v>
      </c>
      <c r="D89" s="86">
        <f t="shared" si="41"/>
        <v>77241.984999999986</v>
      </c>
      <c r="E89" s="86">
        <f t="shared" si="41"/>
        <v>73035.384999999995</v>
      </c>
      <c r="F89" s="86">
        <f t="shared" si="41"/>
        <v>74051.63</v>
      </c>
      <c r="G89" s="86">
        <f t="shared" si="41"/>
        <v>82220.834999999992</v>
      </c>
      <c r="H89" s="86">
        <f t="shared" si="41"/>
        <v>91700.290000000008</v>
      </c>
      <c r="K89" s="85" t="s">
        <v>115</v>
      </c>
      <c r="L89" s="93"/>
      <c r="M89" s="93"/>
      <c r="N89" s="93">
        <f t="shared" ref="N89:S89" si="42">C83</f>
        <v>34578.9</v>
      </c>
      <c r="O89" s="93">
        <f t="shared" si="42"/>
        <v>51165.64</v>
      </c>
      <c r="P89" s="93">
        <f t="shared" si="42"/>
        <v>53211.519999999997</v>
      </c>
      <c r="Q89" s="93">
        <f t="shared" si="42"/>
        <v>50354.45</v>
      </c>
      <c r="R89" s="93">
        <f t="shared" si="42"/>
        <v>50128.66</v>
      </c>
      <c r="S89" s="93">
        <f t="shared" si="42"/>
        <v>53454.85</v>
      </c>
    </row>
    <row r="90" spans="2:19" ht="18" customHeight="1" x14ac:dyDescent="0.25">
      <c r="B90" s="87" t="s">
        <v>120</v>
      </c>
      <c r="C90" s="111">
        <f t="shared" ref="C90:H90" si="43">C88/C89</f>
        <v>0.41267942369597566</v>
      </c>
      <c r="D90" s="111">
        <f t="shared" si="43"/>
        <v>0.66240710929425251</v>
      </c>
      <c r="E90" s="111">
        <f t="shared" si="43"/>
        <v>0.72857177380525895</v>
      </c>
      <c r="F90" s="111">
        <f t="shared" si="43"/>
        <v>0.67999110890604286</v>
      </c>
      <c r="G90" s="111">
        <f t="shared" si="43"/>
        <v>0.60968317823578422</v>
      </c>
      <c r="H90" s="111">
        <f t="shared" si="43"/>
        <v>0.58292999945801693</v>
      </c>
      <c r="K90" s="87" t="s">
        <v>118</v>
      </c>
      <c r="L90" s="90"/>
      <c r="M90" s="90"/>
      <c r="N90" s="90">
        <f t="shared" ref="N90:S90" si="44">N88/N89</f>
        <v>0.12340010815844346</v>
      </c>
      <c r="O90" s="90">
        <f t="shared" si="44"/>
        <v>0.13223639927107328</v>
      </c>
      <c r="P90" s="90">
        <f t="shared" si="44"/>
        <v>7.4684767508990432E-2</v>
      </c>
      <c r="Q90" s="90">
        <f t="shared" si="44"/>
        <v>0.11802968754499363</v>
      </c>
      <c r="R90" s="90">
        <f t="shared" si="44"/>
        <v>5.676752580260476E-2</v>
      </c>
      <c r="S90" s="90">
        <f t="shared" si="44"/>
        <v>6.2873060161986974E-2</v>
      </c>
    </row>
    <row r="91" spans="2:19" ht="18" customHeight="1" x14ac:dyDescent="0.25">
      <c r="B91" s="88"/>
      <c r="C91" s="91"/>
      <c r="D91" s="91"/>
      <c r="E91" s="91"/>
      <c r="F91" s="91"/>
      <c r="G91" s="91"/>
      <c r="H91" s="91"/>
      <c r="K91" s="85"/>
      <c r="L91" s="85"/>
      <c r="M91" s="85"/>
      <c r="N91" s="85"/>
      <c r="O91" s="85"/>
      <c r="P91" s="85"/>
      <c r="Q91" s="85"/>
      <c r="R91" s="85"/>
      <c r="S91" s="85"/>
    </row>
    <row r="92" spans="2:19" ht="18" customHeight="1" x14ac:dyDescent="0.25">
      <c r="B92" s="87" t="s">
        <v>121</v>
      </c>
      <c r="C92" s="90">
        <f t="shared" ref="C92:H92" si="45">C84*C90</f>
        <v>5.0924685518847511E-2</v>
      </c>
      <c r="D92" s="90">
        <f t="shared" si="45"/>
        <v>8.7594330984632249E-2</v>
      </c>
      <c r="E92" s="90">
        <f t="shared" si="45"/>
        <v>5.4413213540258527E-2</v>
      </c>
      <c r="F92" s="90">
        <f t="shared" si="45"/>
        <v>8.0259138117553974E-2</v>
      </c>
      <c r="G92" s="90">
        <f t="shared" si="45"/>
        <v>3.4610205551913957E-2</v>
      </c>
      <c r="H92" s="90">
        <f t="shared" si="45"/>
        <v>3.6650592926150929E-2</v>
      </c>
      <c r="K92" s="81"/>
      <c r="L92" s="81"/>
      <c r="M92" s="81"/>
      <c r="N92" s="81"/>
      <c r="O92" s="81"/>
      <c r="P92" s="83"/>
      <c r="Q92" s="82"/>
      <c r="R92" s="83"/>
      <c r="S92" s="83"/>
    </row>
    <row r="93" spans="2:19" ht="18" customHeight="1" x14ac:dyDescent="0.25">
      <c r="K93" s="84"/>
      <c r="L93" s="84"/>
      <c r="M93" s="84"/>
      <c r="N93" s="84">
        <v>2020</v>
      </c>
      <c r="O93" s="84">
        <f>N93+1</f>
        <v>2021</v>
      </c>
      <c r="P93" s="84">
        <f>O93+1</f>
        <v>2022</v>
      </c>
      <c r="Q93" s="84">
        <f>P93+1</f>
        <v>2023</v>
      </c>
      <c r="R93" s="84">
        <f>Q93+1</f>
        <v>2024</v>
      </c>
      <c r="S93" s="84">
        <f>R93+1</f>
        <v>2025</v>
      </c>
    </row>
    <row r="94" spans="2:19" ht="18" customHeight="1" x14ac:dyDescent="0.25">
      <c r="K94" s="85" t="s">
        <v>115</v>
      </c>
      <c r="L94" s="93"/>
      <c r="M94" s="93"/>
      <c r="N94" s="93">
        <f t="shared" ref="N94:S94" si="46">N89</f>
        <v>34578.9</v>
      </c>
      <c r="O94" s="93">
        <f t="shared" si="46"/>
        <v>51165.64</v>
      </c>
      <c r="P94" s="93">
        <f t="shared" si="46"/>
        <v>53211.519999999997</v>
      </c>
      <c r="Q94" s="93">
        <f t="shared" si="46"/>
        <v>50354.45</v>
      </c>
      <c r="R94" s="93">
        <f t="shared" si="46"/>
        <v>50128.66</v>
      </c>
      <c r="S94" s="93">
        <f t="shared" si="46"/>
        <v>53454.85</v>
      </c>
    </row>
    <row r="95" spans="2:19" ht="18" customHeight="1" x14ac:dyDescent="0.25">
      <c r="K95" s="85" t="s">
        <v>122</v>
      </c>
      <c r="L95" s="86"/>
      <c r="M95" s="86"/>
      <c r="N95" s="86">
        <f t="shared" ref="N95:S95" si="47">L79</f>
        <v>83791.19</v>
      </c>
      <c r="O95" s="86">
        <f t="shared" si="47"/>
        <v>77241.984999999986</v>
      </c>
      <c r="P95" s="86">
        <f t="shared" si="47"/>
        <v>73035.384999999995</v>
      </c>
      <c r="Q95" s="86">
        <f t="shared" si="47"/>
        <v>74051.63</v>
      </c>
      <c r="R95" s="86">
        <f t="shared" si="47"/>
        <v>82220.834999999992</v>
      </c>
      <c r="S95" s="86">
        <f t="shared" si="47"/>
        <v>91700.290000000008</v>
      </c>
    </row>
    <row r="96" spans="2:19" ht="18" customHeight="1" x14ac:dyDescent="0.25">
      <c r="K96" s="87" t="s">
        <v>123</v>
      </c>
      <c r="L96" s="112"/>
      <c r="M96" s="112"/>
      <c r="N96" s="112">
        <f t="shared" ref="N96:S96" si="48">N94/N95</f>
        <v>0.41267942369597566</v>
      </c>
      <c r="O96" s="112">
        <f t="shared" si="48"/>
        <v>0.66240710929425251</v>
      </c>
      <c r="P96" s="112">
        <f t="shared" si="48"/>
        <v>0.72857177380525895</v>
      </c>
      <c r="Q96" s="112">
        <f t="shared" si="48"/>
        <v>0.67999110890604286</v>
      </c>
      <c r="R96" s="112">
        <f t="shared" si="48"/>
        <v>0.60968317823578422</v>
      </c>
      <c r="S96" s="112">
        <f t="shared" si="48"/>
        <v>0.58292999945801693</v>
      </c>
    </row>
    <row r="97" spans="11:19" ht="18" customHeight="1" x14ac:dyDescent="0.25">
      <c r="K97" s="85"/>
      <c r="L97" s="85"/>
      <c r="M97" s="85"/>
      <c r="N97" s="85"/>
      <c r="O97" s="85"/>
      <c r="P97" s="85"/>
      <c r="Q97" s="85"/>
      <c r="R97" s="85"/>
      <c r="S97" s="85"/>
    </row>
    <row r="98" spans="11:19" ht="18" customHeight="1" x14ac:dyDescent="0.25">
      <c r="K98" s="81"/>
      <c r="L98" s="81"/>
      <c r="M98" s="81"/>
      <c r="N98" s="81"/>
      <c r="O98" s="81"/>
      <c r="P98" s="83"/>
      <c r="Q98" s="82"/>
      <c r="R98" s="83"/>
      <c r="S98" s="83"/>
    </row>
    <row r="99" spans="11:19" ht="18" customHeight="1" x14ac:dyDescent="0.25">
      <c r="K99" s="84"/>
      <c r="L99" s="84"/>
      <c r="M99" s="84"/>
      <c r="N99" s="84">
        <f>O99-1</f>
        <v>2021</v>
      </c>
      <c r="O99" s="84">
        <f>P99-1</f>
        <v>2022</v>
      </c>
      <c r="P99" s="84">
        <f>Q99-1</f>
        <v>2023</v>
      </c>
      <c r="Q99" s="84">
        <f>R99-1</f>
        <v>2024</v>
      </c>
      <c r="R99" s="84">
        <f>S99-1</f>
        <v>2025</v>
      </c>
      <c r="S99" s="84">
        <v>2026</v>
      </c>
    </row>
    <row r="100" spans="11:19" ht="18" customHeight="1" x14ac:dyDescent="0.25">
      <c r="K100" s="85" t="s">
        <v>122</v>
      </c>
      <c r="L100" s="113"/>
      <c r="M100" s="113"/>
      <c r="N100" s="113">
        <f t="shared" ref="N100:S100" si="49">N95</f>
        <v>83791.19</v>
      </c>
      <c r="O100" s="113">
        <f t="shared" si="49"/>
        <v>77241.984999999986</v>
      </c>
      <c r="P100" s="113">
        <f t="shared" si="49"/>
        <v>73035.384999999995</v>
      </c>
      <c r="Q100" s="113">
        <f t="shared" si="49"/>
        <v>74051.63</v>
      </c>
      <c r="R100" s="113">
        <f t="shared" si="49"/>
        <v>82220.834999999992</v>
      </c>
      <c r="S100" s="113">
        <f t="shared" si="49"/>
        <v>91700.290000000008</v>
      </c>
    </row>
    <row r="101" spans="11:19" ht="18" customHeight="1" x14ac:dyDescent="0.25">
      <c r="K101" s="85" t="s">
        <v>124</v>
      </c>
      <c r="L101" s="93"/>
      <c r="M101" s="93"/>
      <c r="N101" s="93">
        <f>('BALANCE SHEET'!C41+'BALANCE SHEET'!C42)+('BALANCE SHEET'!D41+'BALANCE SHEET'!D42)/2</f>
        <v>48044.474999999999</v>
      </c>
      <c r="O101" s="93">
        <f>('BALANCE SHEET'!D41+'BALANCE SHEET'!D42)+('BALANCE SHEET'!E41+'BALANCE SHEET'!E42)/2</f>
        <v>49627</v>
      </c>
      <c r="P101" s="93">
        <f>('BALANCE SHEET'!E41+'BALANCE SHEET'!E42)+('BALANCE SHEET'!F41+'BALANCE SHEET'!F42)/2</f>
        <v>54977.954999999994</v>
      </c>
      <c r="Q101" s="93">
        <f>('BALANCE SHEET'!F41+'BALANCE SHEET'!F42)+('BALANCE SHEET'!G41+'BALANCE SHEET'!G42)/2</f>
        <v>60864.594999999994</v>
      </c>
      <c r="R101" s="93">
        <f>('BALANCE SHEET'!G41+'BALANCE SHEET'!G42)+('BALANCE SHEET'!H41+'BALANCE SHEET'!H42)/2</f>
        <v>67908.45</v>
      </c>
      <c r="S101" s="93">
        <f>('BALANCE SHEET'!H41+'BALANCE SHEET'!H42)+('BALANCE SHEET'!I41+'BALANCE SHEET'!I42)/2</f>
        <v>72634.334999999992</v>
      </c>
    </row>
    <row r="102" spans="11:19" ht="18" customHeight="1" x14ac:dyDescent="0.25">
      <c r="K102" s="87" t="s">
        <v>125</v>
      </c>
      <c r="L102" s="111"/>
      <c r="M102" s="111"/>
      <c r="N102" s="111">
        <f t="shared" ref="N102:S102" si="50">N100/N101</f>
        <v>1.7440338353161318</v>
      </c>
      <c r="O102" s="111">
        <f t="shared" si="50"/>
        <v>1.5564508231406289</v>
      </c>
      <c r="P102" s="111">
        <f t="shared" si="50"/>
        <v>1.3284485572444447</v>
      </c>
      <c r="Q102" s="111">
        <f t="shared" si="50"/>
        <v>1.2166618376414073</v>
      </c>
      <c r="R102" s="111">
        <f t="shared" si="50"/>
        <v>1.210760001148605</v>
      </c>
      <c r="S102" s="111">
        <f t="shared" si="50"/>
        <v>1.2624923185432897</v>
      </c>
    </row>
    <row r="103" spans="11:19" ht="18" customHeight="1" x14ac:dyDescent="0.25">
      <c r="K103" s="85"/>
      <c r="L103" s="85"/>
      <c r="M103" s="85"/>
      <c r="N103" s="85"/>
      <c r="O103" s="85"/>
      <c r="P103" s="85"/>
      <c r="Q103" s="85"/>
      <c r="R103" s="85"/>
      <c r="S103" s="85"/>
    </row>
    <row r="104" spans="11:19" ht="18" customHeight="1" x14ac:dyDescent="0.25">
      <c r="K104" s="87" t="s">
        <v>126</v>
      </c>
      <c r="L104" s="90"/>
      <c r="M104" s="90"/>
      <c r="N104" s="90">
        <f t="shared" ref="N104:S104" si="51">N90*N96*N102</f>
        <v>8.8814374597703499E-2</v>
      </c>
      <c r="O104" s="90">
        <f t="shared" si="51"/>
        <v>0.13633626856348355</v>
      </c>
      <c r="P104" s="90">
        <f t="shared" si="51"/>
        <v>7.2285155022590322E-2</v>
      </c>
      <c r="Q104" s="90">
        <f t="shared" si="51"/>
        <v>9.7648230469618735E-2</v>
      </c>
      <c r="R104" s="90">
        <f t="shared" si="51"/>
        <v>4.1904652513788797E-2</v>
      </c>
      <c r="S104" s="90">
        <f t="shared" si="51"/>
        <v>4.627109203932258E-2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66A9-15A3-4E48-864C-575B4F2C227A}">
  <dimension ref="A1:M58"/>
  <sheetViews>
    <sheetView showGridLines="0" topLeftCell="A9" workbookViewId="0">
      <selection sqref="A1:J1"/>
    </sheetView>
  </sheetViews>
  <sheetFormatPr baseColWidth="10" defaultColWidth="8.83203125" defaultRowHeight="15" x14ac:dyDescent="0.2"/>
  <cols>
    <col min="1" max="1" width="30" style="145" customWidth="1"/>
    <col min="2" max="4" width="16" style="145" customWidth="1"/>
    <col min="5" max="5" width="14" style="145" customWidth="1"/>
    <col min="6" max="6" width="40" style="145" customWidth="1"/>
    <col min="7" max="9" width="16" style="145" customWidth="1"/>
    <col min="10" max="10" width="18" style="145" customWidth="1"/>
    <col min="11" max="16384" width="8.83203125" style="145"/>
  </cols>
  <sheetData>
    <row r="1" spans="1:10" ht="21" x14ac:dyDescent="0.25">
      <c r="A1" s="212" t="s">
        <v>217</v>
      </c>
      <c r="B1" s="213"/>
      <c r="C1" s="213"/>
      <c r="D1" s="213"/>
      <c r="E1" s="213"/>
      <c r="F1" s="213"/>
      <c r="G1" s="213"/>
      <c r="H1" s="213"/>
      <c r="I1" s="213"/>
      <c r="J1" s="213"/>
    </row>
    <row r="2" spans="1:10" x14ac:dyDescent="0.2">
      <c r="A2" s="217" t="s">
        <v>216</v>
      </c>
      <c r="B2" s="213"/>
      <c r="C2" s="213"/>
      <c r="D2" s="213"/>
      <c r="E2" s="213"/>
      <c r="F2" s="213"/>
      <c r="G2" s="213"/>
      <c r="H2" s="213"/>
      <c r="I2" s="213"/>
      <c r="J2" s="213"/>
    </row>
    <row r="4" spans="1:10" ht="16" x14ac:dyDescent="0.2">
      <c r="A4" s="152" t="s">
        <v>158</v>
      </c>
      <c r="B4" s="152" t="s">
        <v>157</v>
      </c>
      <c r="C4" s="152" t="s">
        <v>156</v>
      </c>
      <c r="D4" s="152" t="s">
        <v>153</v>
      </c>
      <c r="E4" s="152" t="s">
        <v>215</v>
      </c>
      <c r="F4" s="152" t="s">
        <v>214</v>
      </c>
    </row>
    <row r="5" spans="1:10" ht="16" x14ac:dyDescent="0.2">
      <c r="A5" s="160" t="s">
        <v>213</v>
      </c>
      <c r="B5" s="162">
        <v>185470</v>
      </c>
      <c r="C5" s="162">
        <v>232139.94</v>
      </c>
      <c r="D5" s="162">
        <v>53454.85</v>
      </c>
      <c r="E5" s="158" t="s">
        <v>207</v>
      </c>
      <c r="F5" s="158" t="s">
        <v>212</v>
      </c>
    </row>
    <row r="6" spans="1:10" ht="16" x14ac:dyDescent="0.2">
      <c r="A6" s="157" t="s">
        <v>59</v>
      </c>
      <c r="B6" s="163">
        <v>29464</v>
      </c>
      <c r="C6" s="163">
        <v>34352.44</v>
      </c>
      <c r="D6" s="163">
        <v>9704.0899999999892</v>
      </c>
      <c r="E6" s="155" t="s">
        <v>207</v>
      </c>
      <c r="F6" s="155" t="s">
        <v>211</v>
      </c>
    </row>
    <row r="7" spans="1:10" ht="16" x14ac:dyDescent="0.2">
      <c r="A7" s="160" t="s">
        <v>182</v>
      </c>
      <c r="B7" s="164">
        <v>0.15886127136464101</v>
      </c>
      <c r="C7" s="164">
        <v>0.14798160109802699</v>
      </c>
      <c r="D7" s="164">
        <v>0.18153806436646999</v>
      </c>
      <c r="E7" s="158" t="s">
        <v>199</v>
      </c>
      <c r="F7" s="158" t="s">
        <v>210</v>
      </c>
    </row>
    <row r="8" spans="1:10" ht="16" x14ac:dyDescent="0.2">
      <c r="A8" s="157" t="s">
        <v>64</v>
      </c>
      <c r="B8" s="163">
        <v>19863</v>
      </c>
      <c r="C8" s="163">
        <v>22397.93</v>
      </c>
      <c r="D8" s="163">
        <v>6532.6399999999903</v>
      </c>
      <c r="E8" s="155" t="s">
        <v>207</v>
      </c>
      <c r="F8" s="155" t="s">
        <v>209</v>
      </c>
    </row>
    <row r="9" spans="1:10" ht="16" x14ac:dyDescent="0.2">
      <c r="A9" s="160" t="s">
        <v>208</v>
      </c>
      <c r="B9" s="162">
        <v>3742</v>
      </c>
      <c r="C9" s="162">
        <v>5082.87</v>
      </c>
      <c r="D9" s="162">
        <v>1052.28</v>
      </c>
      <c r="E9" s="158" t="s">
        <v>207</v>
      </c>
      <c r="F9" s="158" t="s">
        <v>206</v>
      </c>
    </row>
    <row r="10" spans="1:10" ht="16" x14ac:dyDescent="0.2">
      <c r="A10" s="157" t="s">
        <v>205</v>
      </c>
      <c r="B10" s="161">
        <v>31.5</v>
      </c>
      <c r="C10" s="161">
        <v>33</v>
      </c>
      <c r="D10" s="161">
        <v>10</v>
      </c>
      <c r="E10" s="155" t="s">
        <v>202</v>
      </c>
      <c r="F10" s="155" t="s">
        <v>204</v>
      </c>
    </row>
    <row r="11" spans="1:10" ht="16" x14ac:dyDescent="0.2">
      <c r="A11" s="160" t="s">
        <v>203</v>
      </c>
      <c r="B11" s="159">
        <v>29.58</v>
      </c>
      <c r="C11" s="159">
        <v>31</v>
      </c>
      <c r="D11" s="159">
        <v>9.5</v>
      </c>
      <c r="E11" s="158" t="s">
        <v>202</v>
      </c>
      <c r="F11" s="158" t="s">
        <v>201</v>
      </c>
    </row>
    <row r="12" spans="1:10" ht="16" x14ac:dyDescent="0.2">
      <c r="A12" s="157" t="s">
        <v>200</v>
      </c>
      <c r="B12" s="156">
        <v>0.63</v>
      </c>
      <c r="C12" s="156">
        <v>0.6</v>
      </c>
      <c r="D12" s="156">
        <v>0.72</v>
      </c>
      <c r="E12" s="155" t="s">
        <v>199</v>
      </c>
      <c r="F12" s="155" t="s">
        <v>198</v>
      </c>
    </row>
    <row r="15" spans="1:10" x14ac:dyDescent="0.2">
      <c r="A15" s="216" t="s">
        <v>197</v>
      </c>
      <c r="B15" s="213"/>
      <c r="C15" s="213"/>
      <c r="D15" s="213"/>
      <c r="E15" s="213"/>
      <c r="F15" s="213"/>
    </row>
    <row r="16" spans="1:10" ht="16" x14ac:dyDescent="0.2">
      <c r="A16" s="149" t="s">
        <v>158</v>
      </c>
      <c r="B16" s="149" t="s">
        <v>157</v>
      </c>
      <c r="C16" s="149" t="s">
        <v>156</v>
      </c>
      <c r="D16" s="149" t="s">
        <v>153</v>
      </c>
      <c r="E16" s="149" t="s">
        <v>196</v>
      </c>
      <c r="F16" s="149" t="s">
        <v>195</v>
      </c>
    </row>
    <row r="17" spans="1:10" ht="16" x14ac:dyDescent="0.2">
      <c r="A17" s="148" t="s">
        <v>187</v>
      </c>
      <c r="B17" s="147">
        <v>0.18361842389693009</v>
      </c>
      <c r="C17" s="147">
        <v>8.2080695701207018E-2</v>
      </c>
      <c r="D17" s="147">
        <v>9.1026221115408479E-2</v>
      </c>
      <c r="E17" s="146" t="s">
        <v>151</v>
      </c>
      <c r="F17" s="146" t="s">
        <v>192</v>
      </c>
    </row>
    <row r="18" spans="1:10" ht="16" x14ac:dyDescent="0.2">
      <c r="A18" s="148" t="s">
        <v>194</v>
      </c>
      <c r="B18" s="147">
        <v>7.8655389161183642E-2</v>
      </c>
      <c r="C18" s="147">
        <v>2.404589067621998E-2</v>
      </c>
      <c r="D18" s="147">
        <v>-5.8344833116844907E-2</v>
      </c>
      <c r="E18" s="146" t="s">
        <v>151</v>
      </c>
      <c r="F18" s="146" t="s">
        <v>192</v>
      </c>
    </row>
    <row r="19" spans="1:10" ht="16" x14ac:dyDescent="0.2">
      <c r="A19" s="148" t="s">
        <v>185</v>
      </c>
      <c r="B19" s="147">
        <v>0.15537728404441831</v>
      </c>
      <c r="C19" s="147">
        <v>2.6179154775372689E-2</v>
      </c>
      <c r="D19" s="147">
        <v>5.9223841048812183E-2</v>
      </c>
      <c r="E19" s="146" t="s">
        <v>151</v>
      </c>
      <c r="F19" s="146" t="s">
        <v>192</v>
      </c>
    </row>
    <row r="20" spans="1:10" ht="16" x14ac:dyDescent="0.2">
      <c r="A20" s="148" t="s">
        <v>193</v>
      </c>
      <c r="B20" s="147">
        <v>0.1442459017489002</v>
      </c>
      <c r="C20" s="147">
        <v>1.6958818817865321E-2</v>
      </c>
      <c r="D20" s="147">
        <v>5.4674498695007623E-2</v>
      </c>
      <c r="E20" s="146" t="s">
        <v>151</v>
      </c>
      <c r="F20" s="146" t="s">
        <v>192</v>
      </c>
    </row>
    <row r="23" spans="1:10" x14ac:dyDescent="0.2">
      <c r="A23" s="216" t="s">
        <v>191</v>
      </c>
      <c r="B23" s="213"/>
      <c r="C23" s="213"/>
      <c r="D23" s="213"/>
      <c r="E23" s="213"/>
      <c r="F23" s="213"/>
    </row>
    <row r="24" spans="1:10" ht="16" x14ac:dyDescent="0.2">
      <c r="A24" s="149" t="s">
        <v>190</v>
      </c>
      <c r="B24" s="149" t="s">
        <v>157</v>
      </c>
      <c r="C24" s="149" t="s">
        <v>156</v>
      </c>
      <c r="D24" s="149" t="s">
        <v>153</v>
      </c>
      <c r="E24" s="149" t="s">
        <v>189</v>
      </c>
      <c r="F24" s="149" t="s">
        <v>188</v>
      </c>
    </row>
    <row r="25" spans="1:10" ht="32" x14ac:dyDescent="0.2">
      <c r="A25" s="153" t="s">
        <v>187</v>
      </c>
      <c r="B25" s="154">
        <v>7.0000000000000007E-2</v>
      </c>
      <c r="C25" s="154">
        <v>0.05</v>
      </c>
      <c r="D25" s="154">
        <v>0.06</v>
      </c>
      <c r="E25" s="153" t="s">
        <v>184</v>
      </c>
      <c r="F25" s="153" t="s">
        <v>186</v>
      </c>
    </row>
    <row r="26" spans="1:10" ht="32" x14ac:dyDescent="0.2">
      <c r="A26" s="153" t="s">
        <v>185</v>
      </c>
      <c r="B26" s="154">
        <v>0.05</v>
      </c>
      <c r="C26" s="154">
        <v>0.04</v>
      </c>
      <c r="D26" s="154">
        <v>0.06</v>
      </c>
      <c r="E26" s="153" t="s">
        <v>184</v>
      </c>
      <c r="F26" s="153" t="s">
        <v>183</v>
      </c>
    </row>
    <row r="27" spans="1:10" ht="16" x14ac:dyDescent="0.2">
      <c r="A27" s="153" t="s">
        <v>182</v>
      </c>
      <c r="B27" s="154">
        <v>0.15886127136464101</v>
      </c>
      <c r="C27" s="154">
        <v>0.14798160109802699</v>
      </c>
      <c r="D27" s="154">
        <v>0.18153806436646999</v>
      </c>
      <c r="E27" s="153" t="s">
        <v>181</v>
      </c>
      <c r="F27" s="153" t="s">
        <v>180</v>
      </c>
    </row>
    <row r="30" spans="1:10" x14ac:dyDescent="0.2">
      <c r="A30" s="216" t="s">
        <v>179</v>
      </c>
      <c r="B30" s="213"/>
      <c r="C30" s="213"/>
      <c r="D30" s="213"/>
      <c r="E30" s="213"/>
      <c r="F30" s="213"/>
      <c r="G30" s="213"/>
      <c r="H30" s="213"/>
      <c r="I30" s="213"/>
      <c r="J30" s="213"/>
    </row>
    <row r="31" spans="1:10" ht="16" x14ac:dyDescent="0.2">
      <c r="A31" s="152" t="s">
        <v>178</v>
      </c>
      <c r="B31" s="152" t="s">
        <v>177</v>
      </c>
      <c r="C31" s="152" t="s">
        <v>176</v>
      </c>
      <c r="D31" s="152" t="s">
        <v>175</v>
      </c>
      <c r="E31" s="152" t="s">
        <v>174</v>
      </c>
      <c r="F31" s="152" t="s">
        <v>173</v>
      </c>
      <c r="G31" s="152" t="s">
        <v>172</v>
      </c>
      <c r="H31" s="152" t="s">
        <v>171</v>
      </c>
      <c r="I31" s="152" t="s">
        <v>170</v>
      </c>
      <c r="J31" s="152" t="s">
        <v>169</v>
      </c>
    </row>
    <row r="32" spans="1:10" ht="16" x14ac:dyDescent="0.2">
      <c r="A32" s="146" t="s">
        <v>168</v>
      </c>
      <c r="B32" s="151">
        <v>185470</v>
      </c>
      <c r="C32" s="151">
        <v>232139.94</v>
      </c>
      <c r="D32" s="151">
        <v>53454.85</v>
      </c>
      <c r="E32" s="151">
        <v>29464</v>
      </c>
      <c r="F32" s="151">
        <v>34352.44</v>
      </c>
      <c r="G32" s="151">
        <v>9704.0899999999892</v>
      </c>
      <c r="H32" s="150">
        <v>31.5</v>
      </c>
      <c r="I32" s="150">
        <v>33</v>
      </c>
      <c r="J32" s="150">
        <v>10</v>
      </c>
    </row>
    <row r="33" spans="1:13" ht="16" x14ac:dyDescent="0.2">
      <c r="A33" s="146" t="s">
        <v>167</v>
      </c>
      <c r="B33" s="151">
        <f>185470*(1+B25)^1</f>
        <v>198452.90000000002</v>
      </c>
      <c r="C33" s="151">
        <f>232139.94*(1+C25)^1</f>
        <v>243746.93700000001</v>
      </c>
      <c r="D33" s="151">
        <f>53454.85*(1+D25)^1</f>
        <v>56662.141000000003</v>
      </c>
      <c r="E33" s="151">
        <f>B33*B27</f>
        <v>31526.47999999997</v>
      </c>
      <c r="F33" s="151">
        <f>C33*C27</f>
        <v>36070.061999999918</v>
      </c>
      <c r="G33" s="151">
        <f>D33*D27</f>
        <v>10286.335399999998</v>
      </c>
      <c r="H33" s="150">
        <f>31.5*(1+B26)^1</f>
        <v>33.075000000000003</v>
      </c>
      <c r="I33" s="150">
        <f>33*(1+C26)^1</f>
        <v>34.32</v>
      </c>
      <c r="J33" s="150">
        <f>10*(1+D26)^1</f>
        <v>10.600000000000001</v>
      </c>
    </row>
    <row r="34" spans="1:13" ht="16" x14ac:dyDescent="0.2">
      <c r="A34" s="146" t="s">
        <v>166</v>
      </c>
      <c r="B34" s="151">
        <f>185470*(1+B25)^2</f>
        <v>212344.603</v>
      </c>
      <c r="C34" s="151">
        <f>232139.94*(1+C25)^2</f>
        <v>255934.28385000001</v>
      </c>
      <c r="D34" s="151">
        <f>53454.85*(1+D25)^2</f>
        <v>60061.869460000009</v>
      </c>
      <c r="E34" s="151">
        <f>B34*B27</f>
        <v>33733.333599999962</v>
      </c>
      <c r="F34" s="151">
        <f>C34*C27</f>
        <v>37873.565099999912</v>
      </c>
      <c r="G34" s="151">
        <f>D34*D27</f>
        <v>10903.515524</v>
      </c>
      <c r="H34" s="150">
        <f>31.5*(1+B26)^2</f>
        <v>34.728749999999998</v>
      </c>
      <c r="I34" s="150">
        <f>33*(1+C26)^2</f>
        <v>35.692800000000005</v>
      </c>
      <c r="J34" s="150">
        <f>10*(1+D26)^2</f>
        <v>11.236000000000001</v>
      </c>
    </row>
    <row r="35" spans="1:13" ht="16" x14ac:dyDescent="0.2">
      <c r="A35" s="146" t="s">
        <v>165</v>
      </c>
      <c r="B35" s="151">
        <f>185470*(1+B25)^3</f>
        <v>227208.72521000003</v>
      </c>
      <c r="C35" s="151">
        <f>232139.94*(1+C25)^3</f>
        <v>268730.99804250005</v>
      </c>
      <c r="D35" s="151">
        <f>53454.85*(1+D25)^3</f>
        <v>63665.581627600011</v>
      </c>
      <c r="E35" s="151">
        <f>B35*B27</f>
        <v>36094.666951999963</v>
      </c>
      <c r="F35" s="151">
        <f>C35*C27</f>
        <v>39767.243354999919</v>
      </c>
      <c r="G35" s="151">
        <f>D35*D27</f>
        <v>11557.726455440001</v>
      </c>
      <c r="H35" s="150">
        <f>31.5*(1+B26)^3</f>
        <v>36.465187500000006</v>
      </c>
      <c r="I35" s="150">
        <f>33*(1+C26)^3</f>
        <v>37.120512000000005</v>
      </c>
      <c r="J35" s="150">
        <f>10*(1+D26)^3</f>
        <v>11.910160000000003</v>
      </c>
    </row>
    <row r="36" spans="1:13" ht="16" x14ac:dyDescent="0.2">
      <c r="A36" s="146" t="s">
        <v>164</v>
      </c>
      <c r="B36" s="151">
        <f>185470*(1+B25)^4</f>
        <v>243113.33597469999</v>
      </c>
      <c r="C36" s="151">
        <f>232139.94*(1+C25)^4</f>
        <v>282167.54794462502</v>
      </c>
      <c r="D36" s="151">
        <f>53454.85*(1+D25)^4</f>
        <v>67485.516525256011</v>
      </c>
      <c r="E36" s="151">
        <f>B36*B27</f>
        <v>38621.29363863996</v>
      </c>
      <c r="F36" s="151">
        <f>C36*C27</f>
        <v>41755.605522749909</v>
      </c>
      <c r="G36" s="151">
        <f>D36*D27</f>
        <v>12251.1900427664</v>
      </c>
      <c r="H36" s="150">
        <f>31.5*(1+B26)^4</f>
        <v>38.288446874999998</v>
      </c>
      <c r="I36" s="150">
        <f>33*(1+C26)^4</f>
        <v>38.605332480000008</v>
      </c>
      <c r="J36" s="150">
        <f>10*(1+D26)^4</f>
        <v>12.624769600000004</v>
      </c>
    </row>
    <row r="37" spans="1:13" ht="16" x14ac:dyDescent="0.2">
      <c r="A37" s="146" t="s">
        <v>163</v>
      </c>
      <c r="B37" s="151">
        <f>185470*(1+B25)^5</f>
        <v>260131.26949292904</v>
      </c>
      <c r="C37" s="151">
        <f>232139.94*(1+C25)^5</f>
        <v>296275.92534185626</v>
      </c>
      <c r="D37" s="151">
        <f>53454.85*(1+D25)^5</f>
        <v>71534.64751677138</v>
      </c>
      <c r="E37" s="151">
        <f>B37*B27</f>
        <v>41324.784193344763</v>
      </c>
      <c r="F37" s="151">
        <f>C37*C27</f>
        <v>43843.385798887401</v>
      </c>
      <c r="G37" s="151">
        <f>D37*D27</f>
        <v>12986.261445332386</v>
      </c>
      <c r="H37" s="150">
        <f>31.5*(1+B26)^5</f>
        <v>40.202869218750003</v>
      </c>
      <c r="I37" s="150">
        <f>33*(1+C26)^5</f>
        <v>40.149545779200011</v>
      </c>
      <c r="J37" s="150">
        <f>10*(1+D26)^5</f>
        <v>13.382255776000004</v>
      </c>
    </row>
    <row r="38" spans="1:13" ht="16" x14ac:dyDescent="0.2">
      <c r="A38" s="146" t="s">
        <v>162</v>
      </c>
      <c r="B38" s="151">
        <f>185470*(1+B25)^10</f>
        <v>364847.56223649572</v>
      </c>
      <c r="C38" s="151">
        <f>232139.94*(1+C25)^10</f>
        <v>378131.50092643767</v>
      </c>
      <c r="D38" s="151">
        <f>53454.85*(1+D25)^10</f>
        <v>95729.494991543805</v>
      </c>
      <c r="E38" s="151">
        <f>B38*B27</f>
        <v>57960.147591179695</v>
      </c>
      <c r="F38" s="151">
        <f>C38*C27</f>
        <v>55956.504932694326</v>
      </c>
      <c r="G38" s="151">
        <f>D38*D27</f>
        <v>17378.547223544545</v>
      </c>
      <c r="H38" s="150">
        <f>31.5*(1+B26)^10</f>
        <v>51.310180743489411</v>
      </c>
      <c r="I38" s="150">
        <f>33*(1+C26)^10</f>
        <v>48.848061402305369</v>
      </c>
      <c r="J38" s="150">
        <f>10*(1+D26)^10</f>
        <v>17.908476965428545</v>
      </c>
    </row>
    <row r="39" spans="1:13" x14ac:dyDescent="0.2">
      <c r="L39" s="145" t="s">
        <v>161</v>
      </c>
      <c r="M39" s="145" t="s">
        <v>160</v>
      </c>
    </row>
    <row r="40" spans="1:13" x14ac:dyDescent="0.2">
      <c r="L40" s="145" t="s">
        <v>157</v>
      </c>
      <c r="M40" s="145">
        <f>B5</f>
        <v>185470</v>
      </c>
    </row>
    <row r="41" spans="1:13" x14ac:dyDescent="0.2">
      <c r="A41" s="216" t="s">
        <v>159</v>
      </c>
      <c r="B41" s="213"/>
      <c r="C41" s="213"/>
      <c r="D41" s="213"/>
      <c r="E41" s="213"/>
      <c r="F41" s="213"/>
      <c r="L41" s="145" t="s">
        <v>156</v>
      </c>
      <c r="M41" s="145">
        <f>C5</f>
        <v>232139.94</v>
      </c>
    </row>
    <row r="42" spans="1:13" ht="16" x14ac:dyDescent="0.2">
      <c r="A42" s="149" t="s">
        <v>158</v>
      </c>
      <c r="B42" s="149" t="s">
        <v>157</v>
      </c>
      <c r="C42" s="149" t="s">
        <v>156</v>
      </c>
      <c r="D42" s="149" t="s">
        <v>153</v>
      </c>
      <c r="E42" s="149" t="s">
        <v>155</v>
      </c>
      <c r="F42" s="149" t="s">
        <v>154</v>
      </c>
      <c r="L42" s="145" t="s">
        <v>153</v>
      </c>
      <c r="M42" s="145">
        <f>D5</f>
        <v>53454.85</v>
      </c>
    </row>
    <row r="43" spans="1:13" ht="16" x14ac:dyDescent="0.2">
      <c r="A43" s="148" t="s">
        <v>152</v>
      </c>
      <c r="B43" s="147">
        <f>F32/B32-1</f>
        <v>-0.81478168976114729</v>
      </c>
      <c r="C43" s="147">
        <f>F32/C32-1</f>
        <v>-0.85201839890197262</v>
      </c>
      <c r="D43" s="147">
        <f>F32/D32-1</f>
        <v>-0.3573559742474256</v>
      </c>
      <c r="E43" s="146" t="s">
        <v>151</v>
      </c>
      <c r="F43" s="146" t="s">
        <v>150</v>
      </c>
    </row>
    <row r="44" spans="1:13" ht="16" x14ac:dyDescent="0.2">
      <c r="A44" s="148" t="s">
        <v>152</v>
      </c>
      <c r="B44" s="147">
        <f>G32/B32-1</f>
        <v>-0.94767838464441689</v>
      </c>
      <c r="C44" s="147">
        <f>G32/C32-1</f>
        <v>-0.95819724085394353</v>
      </c>
      <c r="D44" s="147">
        <f>G32/D32-1</f>
        <v>-0.8184619356335302</v>
      </c>
      <c r="E44" s="146" t="s">
        <v>148</v>
      </c>
      <c r="F44" s="146" t="s">
        <v>147</v>
      </c>
    </row>
    <row r="45" spans="1:13" ht="16" x14ac:dyDescent="0.2">
      <c r="A45" s="148" t="s">
        <v>149</v>
      </c>
      <c r="B45" s="147">
        <f>H37/H32-1</f>
        <v>0.27628156250000013</v>
      </c>
      <c r="C45" s="147">
        <f>I37/I32-1</f>
        <v>0.21665290240000035</v>
      </c>
      <c r="D45" s="147">
        <f>J37/J32-1</f>
        <v>0.33822557760000049</v>
      </c>
      <c r="E45" s="146" t="s">
        <v>151</v>
      </c>
      <c r="F45" s="146" t="s">
        <v>150</v>
      </c>
    </row>
    <row r="46" spans="1:13" ht="16" x14ac:dyDescent="0.2">
      <c r="A46" s="148" t="s">
        <v>149</v>
      </c>
      <c r="B46" s="147">
        <f>H38/H32-1</f>
        <v>0.62889462677744157</v>
      </c>
      <c r="C46" s="147">
        <f>I38/I32-1</f>
        <v>0.48024428491834459</v>
      </c>
      <c r="D46" s="147">
        <f>J38/J32-1</f>
        <v>0.79084769654285436</v>
      </c>
      <c r="E46" s="146" t="s">
        <v>148</v>
      </c>
      <c r="F46" s="146" t="s">
        <v>147</v>
      </c>
    </row>
    <row r="49" spans="1:10" x14ac:dyDescent="0.2">
      <c r="A49" s="216" t="s">
        <v>146</v>
      </c>
      <c r="B49" s="213"/>
      <c r="C49" s="213"/>
      <c r="D49" s="213"/>
      <c r="E49" s="213"/>
      <c r="F49" s="213"/>
      <c r="G49" s="213"/>
      <c r="H49" s="213"/>
      <c r="I49" s="213"/>
      <c r="J49" s="213"/>
    </row>
    <row r="50" spans="1:10" x14ac:dyDescent="0.2">
      <c r="A50" s="215" t="s">
        <v>145</v>
      </c>
      <c r="B50" s="213"/>
      <c r="C50" s="213"/>
      <c r="D50" s="213"/>
      <c r="E50" s="213"/>
      <c r="F50" s="213"/>
      <c r="G50" s="213"/>
      <c r="H50" s="213"/>
      <c r="I50" s="213"/>
      <c r="J50" s="213"/>
    </row>
    <row r="51" spans="1:10" x14ac:dyDescent="0.2">
      <c r="A51" s="215" t="s">
        <v>144</v>
      </c>
      <c r="B51" s="213"/>
      <c r="C51" s="213"/>
      <c r="D51" s="213"/>
      <c r="E51" s="213"/>
      <c r="F51" s="213"/>
      <c r="G51" s="213"/>
      <c r="H51" s="213"/>
      <c r="I51" s="213"/>
      <c r="J51" s="213"/>
    </row>
    <row r="52" spans="1:10" x14ac:dyDescent="0.2">
      <c r="A52" s="215" t="s">
        <v>143</v>
      </c>
      <c r="B52" s="213"/>
      <c r="C52" s="213"/>
      <c r="D52" s="213"/>
      <c r="E52" s="213"/>
      <c r="F52" s="213"/>
      <c r="G52" s="213"/>
      <c r="H52" s="213"/>
      <c r="I52" s="213"/>
      <c r="J52" s="213"/>
    </row>
    <row r="53" spans="1:10" x14ac:dyDescent="0.2">
      <c r="A53" s="215" t="s">
        <v>142</v>
      </c>
      <c r="B53" s="213"/>
      <c r="C53" s="213"/>
      <c r="D53" s="213"/>
      <c r="E53" s="213"/>
      <c r="F53" s="213"/>
      <c r="G53" s="213"/>
      <c r="H53" s="213"/>
      <c r="I53" s="213"/>
      <c r="J53" s="213"/>
    </row>
    <row r="54" spans="1:10" x14ac:dyDescent="0.2">
      <c r="A54" s="215" t="s">
        <v>141</v>
      </c>
      <c r="B54" s="213"/>
      <c r="C54" s="213"/>
      <c r="D54" s="213"/>
      <c r="E54" s="213"/>
      <c r="F54" s="213"/>
      <c r="G54" s="213"/>
      <c r="H54" s="213"/>
      <c r="I54" s="213"/>
      <c r="J54" s="213"/>
    </row>
    <row r="55" spans="1:10" x14ac:dyDescent="0.2">
      <c r="A55" s="215" t="s">
        <v>140</v>
      </c>
      <c r="B55" s="213"/>
      <c r="C55" s="213"/>
      <c r="D55" s="213"/>
      <c r="E55" s="213"/>
      <c r="F55" s="213"/>
      <c r="G55" s="213"/>
      <c r="H55" s="213"/>
      <c r="I55" s="213"/>
      <c r="J55" s="213"/>
    </row>
    <row r="56" spans="1:10" x14ac:dyDescent="0.2">
      <c r="A56" s="215" t="s">
        <v>139</v>
      </c>
      <c r="B56" s="213"/>
      <c r="C56" s="213"/>
      <c r="D56" s="213"/>
      <c r="E56" s="213"/>
      <c r="F56" s="213"/>
      <c r="G56" s="213"/>
      <c r="H56" s="213"/>
      <c r="I56" s="213"/>
      <c r="J56" s="213"/>
    </row>
    <row r="58" spans="1:10" x14ac:dyDescent="0.2">
      <c r="A58" s="214" t="s">
        <v>138</v>
      </c>
      <c r="B58" s="213"/>
      <c r="C58" s="213"/>
      <c r="D58" s="213"/>
      <c r="E58" s="213"/>
      <c r="F58" s="213"/>
      <c r="G58" s="213"/>
      <c r="H58" s="213"/>
      <c r="I58" s="213"/>
      <c r="J58" s="213"/>
    </row>
  </sheetData>
  <mergeCells count="15">
    <mergeCell ref="A1:J1"/>
    <mergeCell ref="A58:J58"/>
    <mergeCell ref="A56:J56"/>
    <mergeCell ref="A23:F23"/>
    <mergeCell ref="A30:J30"/>
    <mergeCell ref="A53:J53"/>
    <mergeCell ref="A55:J55"/>
    <mergeCell ref="A50:J50"/>
    <mergeCell ref="A51:J51"/>
    <mergeCell ref="A2:J2"/>
    <mergeCell ref="A52:J52"/>
    <mergeCell ref="A15:F15"/>
    <mergeCell ref="A54:J54"/>
    <mergeCell ref="A49:J49"/>
    <mergeCell ref="A41:F4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4AE4-6B81-2B46-AB43-25244560B639}">
  <dimension ref="A1:H36"/>
  <sheetViews>
    <sheetView zoomScaleNormal="100" workbookViewId="0">
      <pane ySplit="3" topLeftCell="A4" activePane="bottomLeft" state="frozen"/>
      <selection pane="bottomLeft" activeCell="D5" sqref="D5"/>
    </sheetView>
  </sheetViews>
  <sheetFormatPr baseColWidth="10" defaultColWidth="8.6640625" defaultRowHeight="15" customHeight="1" x14ac:dyDescent="0.2"/>
  <cols>
    <col min="1" max="1" width="28" style="145" customWidth="1"/>
    <col min="2" max="2" width="42" style="145" customWidth="1"/>
    <col min="3" max="3" width="40" style="145" customWidth="1"/>
    <col min="4" max="6" width="16" style="145" customWidth="1"/>
    <col min="7" max="7" width="34" style="145" customWidth="1"/>
    <col min="8" max="8" width="35" style="145" customWidth="1"/>
    <col min="9" max="16384" width="8.6640625" style="145"/>
  </cols>
  <sheetData>
    <row r="1" spans="1:8" ht="19.75" customHeight="1" x14ac:dyDescent="0.2">
      <c r="A1" s="218" t="s">
        <v>306</v>
      </c>
      <c r="B1" s="213"/>
      <c r="C1" s="213"/>
      <c r="D1" s="213"/>
      <c r="E1" s="213"/>
      <c r="F1" s="213"/>
      <c r="G1" s="213"/>
      <c r="H1" s="213"/>
    </row>
    <row r="2" spans="1:8" ht="15" customHeight="1" x14ac:dyDescent="0.2">
      <c r="A2" s="222" t="s">
        <v>305</v>
      </c>
      <c r="B2" s="213"/>
      <c r="C2" s="213"/>
      <c r="D2" s="213"/>
      <c r="E2" s="213"/>
      <c r="F2" s="213"/>
      <c r="G2" s="213"/>
      <c r="H2" s="213"/>
    </row>
    <row r="3" spans="1:8" ht="15" customHeight="1" x14ac:dyDescent="0.2">
      <c r="A3" s="166"/>
      <c r="B3" s="166"/>
      <c r="C3" s="166"/>
      <c r="D3" s="166"/>
      <c r="E3" s="166"/>
      <c r="F3" s="166"/>
      <c r="G3" s="166"/>
      <c r="H3" s="166"/>
    </row>
    <row r="4" spans="1:8" ht="28.25" customHeight="1" x14ac:dyDescent="0.2">
      <c r="A4" s="170" t="s">
        <v>158</v>
      </c>
      <c r="B4" s="170" t="s">
        <v>304</v>
      </c>
      <c r="C4" s="170" t="s">
        <v>303</v>
      </c>
      <c r="D4" s="170" t="s">
        <v>302</v>
      </c>
      <c r="E4" s="170" t="s">
        <v>301</v>
      </c>
      <c r="F4" s="170" t="s">
        <v>300</v>
      </c>
      <c r="G4" s="170" t="s">
        <v>299</v>
      </c>
      <c r="H4" s="170" t="s">
        <v>214</v>
      </c>
    </row>
    <row r="5" spans="1:8" ht="41.75" customHeight="1" x14ac:dyDescent="0.2">
      <c r="A5" s="167" t="s">
        <v>31</v>
      </c>
      <c r="B5" s="167" t="s">
        <v>298</v>
      </c>
      <c r="C5" s="167" t="s">
        <v>297</v>
      </c>
      <c r="D5" s="169">
        <f>'[1]RATIOS '!I35</f>
        <v>0.13753167628187848</v>
      </c>
      <c r="E5" s="169">
        <f>'[1]RATIOS '!R35</f>
        <v>4.6893352346003017E-2</v>
      </c>
      <c r="F5" s="169">
        <f>'[1]RATIOS '!AA35</f>
        <v>6.2873060161987099E-2</v>
      </c>
      <c r="G5" s="171" t="s">
        <v>296</v>
      </c>
      <c r="H5" s="167" t="s">
        <v>295</v>
      </c>
    </row>
    <row r="6" spans="1:8" ht="41.75" customHeight="1" x14ac:dyDescent="0.2">
      <c r="A6" s="167" t="s">
        <v>294</v>
      </c>
      <c r="B6" s="167" t="s">
        <v>293</v>
      </c>
      <c r="C6" s="167" t="s">
        <v>292</v>
      </c>
      <c r="D6" s="169">
        <f>'[1]RATIOS '!I34</f>
        <v>0.10001117421383525</v>
      </c>
      <c r="E6" s="169">
        <f>'[1]RATIOS '!R34</f>
        <v>3.806409111475853E-2</v>
      </c>
      <c r="F6" s="169">
        <f>'[1]RATIOS '!AA34</f>
        <v>3.6650592926151006E-2</v>
      </c>
      <c r="G6" s="171" t="s">
        <v>291</v>
      </c>
      <c r="H6" s="167" t="s">
        <v>290</v>
      </c>
    </row>
    <row r="7" spans="1:8" ht="41.75" customHeight="1" x14ac:dyDescent="0.2">
      <c r="A7" s="167" t="s">
        <v>289</v>
      </c>
      <c r="B7" s="167" t="s">
        <v>288</v>
      </c>
      <c r="C7" s="167" t="s">
        <v>287</v>
      </c>
      <c r="D7" s="169">
        <f>'[1]RATIOS '!I37</f>
        <v>0.28413413608541399</v>
      </c>
      <c r="E7" s="169">
        <f>'[1]RATIOS '!R37</f>
        <v>0.11260963224474867</v>
      </c>
      <c r="F7" s="169">
        <f>'[1]RATIOS '!AA37</f>
        <v>4.6271092039322677E-2</v>
      </c>
      <c r="G7" s="171" t="s">
        <v>286</v>
      </c>
      <c r="H7" s="167" t="s">
        <v>285</v>
      </c>
    </row>
    <row r="8" spans="1:8" ht="28.25" customHeight="1" x14ac:dyDescent="0.2">
      <c r="A8" s="167" t="s">
        <v>20</v>
      </c>
      <c r="B8" s="167" t="s">
        <v>284</v>
      </c>
      <c r="C8" s="167" t="s">
        <v>283</v>
      </c>
      <c r="D8" s="168">
        <f>'[1]RATIOS '!I22</f>
        <v>0.68779713563105904</v>
      </c>
      <c r="E8" s="168">
        <f>'[1]RATIOS '!R22</f>
        <v>0.782895426876422</v>
      </c>
      <c r="F8" s="168">
        <f>'[1]RATIOS '!AA22</f>
        <v>0.54749713575898096</v>
      </c>
      <c r="G8" s="168" t="s">
        <v>282</v>
      </c>
      <c r="H8" s="167" t="s">
        <v>281</v>
      </c>
    </row>
    <row r="9" spans="1:8" ht="41.75" customHeight="1" x14ac:dyDescent="0.2">
      <c r="A9" s="167" t="s">
        <v>236</v>
      </c>
      <c r="B9" s="167" t="s">
        <v>280</v>
      </c>
      <c r="C9" s="167" t="s">
        <v>279</v>
      </c>
      <c r="D9" s="168">
        <f>'[1]RATIOS '!I25</f>
        <v>0.99257393581401854</v>
      </c>
      <c r="E9" s="168">
        <f>'[1]RATIOS '!R25</f>
        <v>0.90421654995490242</v>
      </c>
      <c r="F9" s="168">
        <f>'[1]RATIOS '!AA25</f>
        <v>0.4442049937808098</v>
      </c>
      <c r="G9" s="168" t="s">
        <v>278</v>
      </c>
      <c r="H9" s="167" t="s">
        <v>277</v>
      </c>
    </row>
    <row r="10" spans="1:8" ht="41.75" customHeight="1" x14ac:dyDescent="0.2">
      <c r="A10" s="167" t="s">
        <v>276</v>
      </c>
      <c r="B10" s="167" t="s">
        <v>275</v>
      </c>
      <c r="C10" s="167" t="s">
        <v>274</v>
      </c>
      <c r="D10" s="168">
        <f>'[1]RATIOS '!I27</f>
        <v>3.3705538962802062</v>
      </c>
      <c r="E10" s="168">
        <f>'[1]RATIOS '!R27</f>
        <v>2.6892319730417982</v>
      </c>
      <c r="F10" s="168">
        <f>'[1]RATIOS '!AA27</f>
        <v>2.3298990425686497</v>
      </c>
      <c r="G10" s="168" t="s">
        <v>273</v>
      </c>
      <c r="H10" s="167" t="s">
        <v>272</v>
      </c>
    </row>
    <row r="11" spans="1:8" ht="41.75" customHeight="1" x14ac:dyDescent="0.2">
      <c r="A11" s="167" t="s">
        <v>224</v>
      </c>
      <c r="B11" s="167" t="s">
        <v>271</v>
      </c>
      <c r="C11" s="167" t="s">
        <v>270</v>
      </c>
      <c r="D11" s="168">
        <f>'[1]RATIOS '!I31</f>
        <v>2.1822676334871458</v>
      </c>
      <c r="E11" s="168">
        <f>'[1]RATIOS '!R31</f>
        <v>3.1251210398685094</v>
      </c>
      <c r="F11" s="168">
        <f>'[1]RATIOS '!AA31</f>
        <v>4.3073108977740242</v>
      </c>
      <c r="G11" s="168" t="s">
        <v>269</v>
      </c>
      <c r="H11" s="167" t="s">
        <v>268</v>
      </c>
    </row>
    <row r="12" spans="1:8" ht="41.75" customHeight="1" x14ac:dyDescent="0.2">
      <c r="A12" s="167" t="s">
        <v>233</v>
      </c>
      <c r="B12" s="167" t="s">
        <v>267</v>
      </c>
      <c r="C12" s="167" t="s">
        <v>266</v>
      </c>
      <c r="D12" s="168">
        <f>'[1]RATIOS '!I46</f>
        <v>0.25326754606786828</v>
      </c>
      <c r="E12" s="168">
        <f>'[1]RATIOS '!R46</f>
        <v>0.37956075273798878</v>
      </c>
      <c r="F12" s="168">
        <f>'[1]RATIOS '!AA46</f>
        <v>0.31863659382871395</v>
      </c>
      <c r="G12" s="168" t="s">
        <v>265</v>
      </c>
      <c r="H12" s="167" t="s">
        <v>264</v>
      </c>
    </row>
    <row r="13" spans="1:8" ht="41.75" customHeight="1" x14ac:dyDescent="0.2">
      <c r="A13" s="167" t="s">
        <v>230</v>
      </c>
      <c r="B13" s="167" t="s">
        <v>263</v>
      </c>
      <c r="C13" s="167" t="s">
        <v>262</v>
      </c>
      <c r="D13" s="168">
        <f>'[1]RATIOS '!I47</f>
        <v>1.7296107825608582</v>
      </c>
      <c r="E13" s="168">
        <f>'[1]RATIOS '!R47</f>
        <v>2.6648776409788719</v>
      </c>
      <c r="F13" s="168">
        <f>'[1]RATIOS '!AA47</f>
        <v>0.75460668272755838</v>
      </c>
      <c r="G13" s="168" t="s">
        <v>261</v>
      </c>
      <c r="H13" s="167" t="s">
        <v>260</v>
      </c>
    </row>
    <row r="14" spans="1:8" ht="41.75" customHeight="1" x14ac:dyDescent="0.2">
      <c r="A14" s="167" t="s">
        <v>227</v>
      </c>
      <c r="B14" s="167" t="s">
        <v>259</v>
      </c>
      <c r="C14" s="167" t="s">
        <v>258</v>
      </c>
      <c r="D14" s="169">
        <f>'[1]RATIOS '!I44</f>
        <v>0.12105461799752</v>
      </c>
      <c r="E14" s="169">
        <f>'[1]RATIOS '!R44</f>
        <v>9.4367475066978984E-2</v>
      </c>
      <c r="F14" s="169">
        <f>'[1]RATIOS '!AA44</f>
        <v>8.4262326056475698E-2</v>
      </c>
      <c r="G14" s="171" t="s">
        <v>257</v>
      </c>
      <c r="H14" s="167" t="s">
        <v>256</v>
      </c>
    </row>
    <row r="15" spans="1:8" ht="41.75" customHeight="1" x14ac:dyDescent="0.2">
      <c r="A15" s="167" t="s">
        <v>255</v>
      </c>
      <c r="B15" s="167" t="s">
        <v>254</v>
      </c>
      <c r="C15" s="167" t="s">
        <v>253</v>
      </c>
      <c r="D15" s="168">
        <f>'[1]CASH FLOW '!I8</f>
        <v>0.98604359416653597</v>
      </c>
      <c r="E15" s="168">
        <f>'[1]CASH FLOW '!I24</f>
        <v>0.15104880271787785</v>
      </c>
      <c r="F15" s="168">
        <f>'[1]CASH FLOW '!I40</f>
        <v>-727.19</v>
      </c>
      <c r="G15" s="168" t="s">
        <v>252</v>
      </c>
      <c r="H15" s="167" t="s">
        <v>251</v>
      </c>
    </row>
    <row r="16" spans="1:8" ht="28.25" customHeight="1" x14ac:dyDescent="0.2">
      <c r="A16" s="167" t="s">
        <v>36</v>
      </c>
      <c r="B16" s="167" t="s">
        <v>250</v>
      </c>
      <c r="C16" s="167" t="s">
        <v>249</v>
      </c>
      <c r="D16" s="169">
        <f>'[1]RATIOS '!I42</f>
        <v>0.20350255993109712</v>
      </c>
      <c r="E16" s="169">
        <f>'[1]RATIOS '!R42</f>
        <v>0.51547655372774503</v>
      </c>
      <c r="F16" s="169">
        <f>'[1]RATIOS '!AA42</f>
        <v>-0.33441827205569863</v>
      </c>
      <c r="G16" s="171" t="s">
        <v>248</v>
      </c>
      <c r="H16" s="167" t="s">
        <v>247</v>
      </c>
    </row>
    <row r="17" spans="1:8" ht="15" customHeight="1" x14ac:dyDescent="0.2">
      <c r="A17" s="166"/>
      <c r="B17" s="166"/>
      <c r="C17" s="166"/>
      <c r="D17" s="166"/>
      <c r="E17" s="166"/>
      <c r="F17" s="166"/>
      <c r="G17" s="166"/>
      <c r="H17" s="166"/>
    </row>
    <row r="18" spans="1:8" ht="15" customHeight="1" x14ac:dyDescent="0.2">
      <c r="A18" s="166"/>
      <c r="B18" s="166"/>
      <c r="C18" s="166"/>
      <c r="D18" s="166"/>
      <c r="E18" s="166"/>
      <c r="F18" s="166"/>
      <c r="G18" s="166"/>
      <c r="H18" s="166"/>
    </row>
    <row r="19" spans="1:8" ht="16.25" customHeight="1" x14ac:dyDescent="0.2">
      <c r="A19" s="221" t="s">
        <v>246</v>
      </c>
      <c r="B19" s="213"/>
      <c r="C19" s="213"/>
      <c r="D19" s="213"/>
      <c r="E19" s="213"/>
      <c r="F19" s="213"/>
      <c r="G19" s="166"/>
      <c r="H19" s="166"/>
    </row>
    <row r="20" spans="1:8" ht="28.25" customHeight="1" x14ac:dyDescent="0.2">
      <c r="A20" s="170" t="s">
        <v>158</v>
      </c>
      <c r="B20" s="170" t="s">
        <v>157</v>
      </c>
      <c r="C20" s="170" t="s">
        <v>156</v>
      </c>
      <c r="D20" s="170" t="s">
        <v>153</v>
      </c>
      <c r="E20" s="170" t="s">
        <v>245</v>
      </c>
      <c r="F20" s="170" t="s">
        <v>244</v>
      </c>
      <c r="G20" s="166"/>
      <c r="H20" s="166"/>
    </row>
    <row r="21" spans="1:8" ht="82" customHeight="1" x14ac:dyDescent="0.2">
      <c r="A21" s="167" t="s">
        <v>31</v>
      </c>
      <c r="B21" s="169">
        <f>'[1]RATIOS '!I35</f>
        <v>0.13753167628187848</v>
      </c>
      <c r="C21" s="169">
        <f>'[1]RATIOS '!R35</f>
        <v>4.6893352346003017E-2</v>
      </c>
      <c r="D21" s="169">
        <f>'[1]RATIOS '!AA35</f>
        <v>6.2873060161987099E-2</v>
      </c>
      <c r="E21" s="167" t="s">
        <v>243</v>
      </c>
      <c r="F21" s="167" t="s">
        <v>242</v>
      </c>
      <c r="G21" s="166"/>
      <c r="H21" s="166"/>
    </row>
    <row r="22" spans="1:8" ht="55.25" customHeight="1" x14ac:dyDescent="0.2">
      <c r="A22" s="167" t="s">
        <v>30</v>
      </c>
      <c r="B22" s="169">
        <f>'[1]RATIOS '!I34</f>
        <v>0.10001117421383525</v>
      </c>
      <c r="C22" s="169">
        <f>'[1]RATIOS '!R34</f>
        <v>3.806409111475853E-2</v>
      </c>
      <c r="D22" s="169">
        <f>'[1]RATIOS '!AA34</f>
        <v>3.6650592926151006E-2</v>
      </c>
      <c r="E22" s="167" t="s">
        <v>241</v>
      </c>
      <c r="F22" s="167" t="s">
        <v>240</v>
      </c>
      <c r="G22" s="166"/>
      <c r="H22" s="166"/>
    </row>
    <row r="23" spans="1:8" ht="55.25" customHeight="1" x14ac:dyDescent="0.2">
      <c r="A23" s="167" t="s">
        <v>239</v>
      </c>
      <c r="B23" s="169">
        <f>'[1]RATIOS '!I37</f>
        <v>0.28413413608541399</v>
      </c>
      <c r="C23" s="169">
        <f>'[1]RATIOS '!R37</f>
        <v>0.11260963224474867</v>
      </c>
      <c r="D23" s="169">
        <f>'[1]RATIOS '!AA37</f>
        <v>4.6271092039322677E-2</v>
      </c>
      <c r="E23" s="167" t="s">
        <v>238</v>
      </c>
      <c r="F23" s="167" t="s">
        <v>237</v>
      </c>
      <c r="G23" s="166"/>
      <c r="H23" s="166"/>
    </row>
    <row r="24" spans="1:8" ht="95.5" customHeight="1" x14ac:dyDescent="0.2">
      <c r="A24" s="167" t="s">
        <v>236</v>
      </c>
      <c r="B24" s="168">
        <f>'[1]RATIOS '!I25</f>
        <v>0.99257393581401854</v>
      </c>
      <c r="C24" s="168">
        <f>'[1]RATIOS '!R25</f>
        <v>0.90421654995490242</v>
      </c>
      <c r="D24" s="168">
        <f>'[1]RATIOS '!AA25</f>
        <v>0.4442049937808098</v>
      </c>
      <c r="E24" s="167" t="s">
        <v>235</v>
      </c>
      <c r="F24" s="167" t="s">
        <v>234</v>
      </c>
      <c r="G24" s="166"/>
      <c r="H24" s="166"/>
    </row>
    <row r="25" spans="1:8" ht="55.25" customHeight="1" x14ac:dyDescent="0.2">
      <c r="A25" s="167" t="s">
        <v>233</v>
      </c>
      <c r="B25" s="168">
        <f>'[1]RATIOS '!I46</f>
        <v>0.25326754606786828</v>
      </c>
      <c r="C25" s="168">
        <f>'[1]RATIOS '!R46</f>
        <v>0.37956075273798878</v>
      </c>
      <c r="D25" s="168">
        <f>'[1]RATIOS '!AA46</f>
        <v>0.31863659382871395</v>
      </c>
      <c r="E25" s="167" t="s">
        <v>232</v>
      </c>
      <c r="F25" s="167" t="s">
        <v>231</v>
      </c>
      <c r="G25" s="166"/>
      <c r="H25" s="166"/>
    </row>
    <row r="26" spans="1:8" ht="68.75" customHeight="1" x14ac:dyDescent="0.2">
      <c r="A26" s="167" t="s">
        <v>230</v>
      </c>
      <c r="B26" s="168">
        <f>'[1]RATIOS '!I47</f>
        <v>1.7296107825608582</v>
      </c>
      <c r="C26" s="168">
        <f>'[1]RATIOS '!R47</f>
        <v>2.6648776409788719</v>
      </c>
      <c r="D26" s="168">
        <f>'[1]RATIOS '!AA47</f>
        <v>0.75460668272755838</v>
      </c>
      <c r="E26" s="167" t="s">
        <v>229</v>
      </c>
      <c r="F26" s="167" t="s">
        <v>228</v>
      </c>
      <c r="G26" s="166"/>
      <c r="H26" s="166"/>
    </row>
    <row r="27" spans="1:8" ht="95.5" customHeight="1" x14ac:dyDescent="0.2">
      <c r="A27" s="167" t="s">
        <v>227</v>
      </c>
      <c r="B27" s="169">
        <f>'[1]RATIOS '!I44</f>
        <v>0.12105461799752</v>
      </c>
      <c r="C27" s="169">
        <f>'[1]RATIOS '!R44</f>
        <v>9.4367475066978984E-2</v>
      </c>
      <c r="D27" s="169">
        <f>'[1]RATIOS '!AA44</f>
        <v>8.4262326056475698E-2</v>
      </c>
      <c r="E27" s="167" t="s">
        <v>226</v>
      </c>
      <c r="F27" s="167" t="s">
        <v>225</v>
      </c>
      <c r="G27" s="166"/>
      <c r="H27" s="166"/>
    </row>
    <row r="28" spans="1:8" ht="55.25" customHeight="1" x14ac:dyDescent="0.2">
      <c r="A28" s="167" t="s">
        <v>224</v>
      </c>
      <c r="B28" s="168">
        <f>'[1]RATIOS '!I31</f>
        <v>2.1822676334871458</v>
      </c>
      <c r="C28" s="168">
        <f>'[1]RATIOS '!R31</f>
        <v>3.1251210398685094</v>
      </c>
      <c r="D28" s="168">
        <f>'[1]RATIOS '!AA31</f>
        <v>4.3073108977740242</v>
      </c>
      <c r="E28" s="167" t="s">
        <v>223</v>
      </c>
      <c r="F28" s="167" t="s">
        <v>222</v>
      </c>
      <c r="G28" s="166"/>
      <c r="H28" s="166"/>
    </row>
    <row r="29" spans="1:8" ht="15" customHeight="1" x14ac:dyDescent="0.2">
      <c r="A29" s="166"/>
      <c r="B29" s="166"/>
      <c r="C29" s="166"/>
      <c r="D29" s="166"/>
      <c r="E29" s="166"/>
      <c r="F29" s="166"/>
      <c r="G29" s="166"/>
      <c r="H29" s="166"/>
    </row>
    <row r="30" spans="1:8" ht="15" customHeight="1" x14ac:dyDescent="0.2">
      <c r="A30" s="166"/>
      <c r="B30" s="166"/>
      <c r="C30" s="166"/>
      <c r="D30" s="166"/>
      <c r="E30" s="166"/>
      <c r="F30" s="166"/>
      <c r="G30" s="166"/>
      <c r="H30" s="166"/>
    </row>
    <row r="31" spans="1:8" ht="15" customHeight="1" x14ac:dyDescent="0.2">
      <c r="A31" s="166"/>
      <c r="B31" s="166"/>
      <c r="C31" s="166"/>
      <c r="D31" s="166"/>
      <c r="E31" s="166"/>
      <c r="F31" s="166"/>
      <c r="G31" s="166"/>
      <c r="H31" s="166"/>
    </row>
    <row r="32" spans="1:8" ht="15" customHeight="1" x14ac:dyDescent="0.2">
      <c r="A32" s="166"/>
      <c r="B32" s="166"/>
      <c r="C32" s="166"/>
      <c r="D32" s="166"/>
      <c r="E32" s="166"/>
      <c r="F32" s="166"/>
      <c r="G32" s="166"/>
      <c r="H32" s="166"/>
    </row>
    <row r="33" spans="1:8" ht="16.25" customHeight="1" x14ac:dyDescent="0.2">
      <c r="A33" s="221" t="s">
        <v>221</v>
      </c>
      <c r="B33" s="213"/>
      <c r="C33" s="213"/>
      <c r="D33" s="213"/>
      <c r="E33" s="213"/>
      <c r="F33" s="213"/>
      <c r="G33" s="213"/>
      <c r="H33" s="213"/>
    </row>
    <row r="34" spans="1:8" ht="15" customHeight="1" x14ac:dyDescent="0.2">
      <c r="A34" s="165" t="s">
        <v>157</v>
      </c>
      <c r="B34" s="219" t="s">
        <v>220</v>
      </c>
      <c r="C34" s="220"/>
      <c r="D34" s="220"/>
      <c r="E34" s="220"/>
      <c r="F34" s="220"/>
      <c r="G34" s="220"/>
      <c r="H34" s="220"/>
    </row>
    <row r="35" spans="1:8" ht="15" customHeight="1" x14ac:dyDescent="0.2">
      <c r="A35" s="165" t="s">
        <v>156</v>
      </c>
      <c r="B35" s="219" t="s">
        <v>219</v>
      </c>
      <c r="C35" s="220"/>
      <c r="D35" s="220"/>
      <c r="E35" s="220"/>
      <c r="F35" s="220"/>
      <c r="G35" s="220"/>
      <c r="H35" s="220"/>
    </row>
    <row r="36" spans="1:8" ht="15" customHeight="1" x14ac:dyDescent="0.2">
      <c r="A36" s="165" t="s">
        <v>153</v>
      </c>
      <c r="B36" s="219" t="s">
        <v>218</v>
      </c>
      <c r="C36" s="220"/>
      <c r="D36" s="220"/>
      <c r="E36" s="220"/>
      <c r="F36" s="220"/>
      <c r="G36" s="220"/>
      <c r="H36" s="220"/>
    </row>
  </sheetData>
  <mergeCells count="7">
    <mergeCell ref="A1:H1"/>
    <mergeCell ref="B34:H34"/>
    <mergeCell ref="B36:H36"/>
    <mergeCell ref="A19:F19"/>
    <mergeCell ref="B35:H35"/>
    <mergeCell ref="A2:H2"/>
    <mergeCell ref="A33:H3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1D9C-4BBC-DB47-B571-76A7B3E8AA3B}">
  <dimension ref="A1:I81"/>
  <sheetViews>
    <sheetView showGridLines="0" tabSelected="1" zoomScaleNormal="100" workbookViewId="0">
      <pane xSplit="1" ySplit="5" topLeftCell="B6" activePane="bottomRight" state="frozen"/>
      <selection pane="topRight" activeCell="B1" sqref="B1"/>
      <selection pane="bottomLeft" activeCell="A6" sqref="A6"/>
      <selection pane="bottomRight" activeCell="C6" sqref="C6"/>
    </sheetView>
  </sheetViews>
  <sheetFormatPr baseColWidth="10" defaultColWidth="8.6640625" defaultRowHeight="15" x14ac:dyDescent="0.2"/>
  <cols>
    <col min="1" max="1" width="2" style="145" customWidth="1"/>
    <col min="2" max="2" width="32" style="145" customWidth="1"/>
    <col min="3" max="4" width="17" style="145" customWidth="1"/>
    <col min="5" max="5" width="22" style="145" customWidth="1"/>
    <col min="6" max="6" width="16" style="145" customWidth="1"/>
    <col min="7" max="7" width="44" style="145" customWidth="1"/>
    <col min="8" max="10" width="12" style="145" customWidth="1"/>
    <col min="11" max="16384" width="8.6640625" style="145"/>
  </cols>
  <sheetData>
    <row r="1" spans="1:7" ht="25.5" customHeight="1" x14ac:dyDescent="0.2">
      <c r="A1" s="225" t="s">
        <v>362</v>
      </c>
      <c r="B1" s="225"/>
      <c r="C1" s="225"/>
      <c r="D1" s="225"/>
      <c r="E1" s="225"/>
      <c r="F1" s="225"/>
      <c r="G1" s="225"/>
    </row>
    <row r="2" spans="1:7" ht="18" customHeight="1" x14ac:dyDescent="0.2">
      <c r="A2" s="226" t="s">
        <v>361</v>
      </c>
      <c r="B2" s="226"/>
      <c r="C2" s="226"/>
      <c r="D2" s="226"/>
      <c r="E2" s="226"/>
      <c r="F2" s="226"/>
      <c r="G2" s="226"/>
    </row>
    <row r="4" spans="1:7" ht="19.5" customHeight="1" x14ac:dyDescent="0.2">
      <c r="A4" s="224" t="s">
        <v>360</v>
      </c>
      <c r="B4" s="224"/>
      <c r="C4" s="224"/>
      <c r="D4" s="224"/>
      <c r="E4" s="224"/>
      <c r="F4" s="224"/>
      <c r="G4" s="224"/>
    </row>
    <row r="5" spans="1:7" ht="18" customHeight="1" x14ac:dyDescent="0.2">
      <c r="B5" s="209" t="s">
        <v>158</v>
      </c>
      <c r="C5" s="209" t="s">
        <v>157</v>
      </c>
      <c r="D5" s="209" t="s">
        <v>156</v>
      </c>
      <c r="E5" s="209" t="s">
        <v>359</v>
      </c>
      <c r="F5" s="209" t="s">
        <v>358</v>
      </c>
      <c r="G5" s="209" t="s">
        <v>357</v>
      </c>
    </row>
    <row r="6" spans="1:7" ht="15" customHeight="1" x14ac:dyDescent="0.2">
      <c r="B6" s="197" t="s">
        <v>160</v>
      </c>
      <c r="C6" s="205">
        <f>'[2] P&amp;L'!I2</f>
        <v>185470</v>
      </c>
      <c r="D6" s="205">
        <f>'[2] P&amp;L'!V2</f>
        <v>232139.94</v>
      </c>
      <c r="E6" s="205">
        <f>'[2] P&amp;L'!AI2</f>
        <v>53454.85</v>
      </c>
      <c r="F6" s="195" t="str">
        <f t="shared" ref="F6:F12" si="0">INDEX($C$5:$E$5,MATCH(MAX(C6:E6),C6:E6,0))</f>
        <v>Tata Steel</v>
      </c>
      <c r="G6" s="194"/>
    </row>
    <row r="7" spans="1:7" ht="15" customHeight="1" x14ac:dyDescent="0.2">
      <c r="B7" s="201" t="s">
        <v>356</v>
      </c>
      <c r="C7" s="203">
        <f>'[2] P&amp;L'!K2</f>
        <v>0.18361842389693006</v>
      </c>
      <c r="D7" s="203">
        <f>'[2] P&amp;L'!X2</f>
        <v>8.2080695701207018E-2</v>
      </c>
      <c r="E7" s="203">
        <f>'[2] P&amp;L'!AK2</f>
        <v>9.1026221115408479E-2</v>
      </c>
      <c r="F7" s="199" t="str">
        <f t="shared" si="0"/>
        <v>JSW Steel</v>
      </c>
      <c r="G7" s="198"/>
    </row>
    <row r="8" spans="1:7" ht="15" customHeight="1" x14ac:dyDescent="0.2">
      <c r="B8" s="197" t="s">
        <v>59</v>
      </c>
      <c r="C8" s="205">
        <f>'[2] P&amp;L'!I13</f>
        <v>29464</v>
      </c>
      <c r="D8" s="205">
        <f>'[2] P&amp;L'!V13</f>
        <v>34352.44</v>
      </c>
      <c r="E8" s="205">
        <f>'[2] P&amp;L'!AI13</f>
        <v>9704.0899999999965</v>
      </c>
      <c r="F8" s="195" t="str">
        <f t="shared" si="0"/>
        <v>Tata Steel</v>
      </c>
      <c r="G8" s="194"/>
    </row>
    <row r="9" spans="1:7" ht="15" customHeight="1" x14ac:dyDescent="0.2">
      <c r="B9" s="201" t="s">
        <v>182</v>
      </c>
      <c r="C9" s="203">
        <f>'[2] P&amp;L'!I14</f>
        <v>0.15886127136464118</v>
      </c>
      <c r="D9" s="203">
        <f>'[2] P&amp;L'!V14</f>
        <v>0.14798160109802735</v>
      </c>
      <c r="E9" s="203">
        <f>'[2] P&amp;L'!AI14</f>
        <v>0.18153806436646996</v>
      </c>
      <c r="F9" s="199" t="str">
        <f t="shared" si="0"/>
        <v>JSPL (Jindal)</v>
      </c>
      <c r="G9" s="198"/>
    </row>
    <row r="10" spans="1:7" ht="15" customHeight="1" x14ac:dyDescent="0.2">
      <c r="B10" s="197" t="s">
        <v>208</v>
      </c>
      <c r="C10" s="205">
        <f>'[2] P&amp;L'!I27</f>
        <v>25508</v>
      </c>
      <c r="D10" s="205">
        <f>'[2] P&amp;L'!V27</f>
        <v>10885.82</v>
      </c>
      <c r="E10" s="205">
        <f>'[2] P&amp;L'!AI27</f>
        <v>3360.8699999999963</v>
      </c>
      <c r="F10" s="195" t="str">
        <f t="shared" si="0"/>
        <v>JSW Steel</v>
      </c>
      <c r="G10" s="194"/>
    </row>
    <row r="11" spans="1:7" ht="15" customHeight="1" x14ac:dyDescent="0.2">
      <c r="B11" s="201" t="s">
        <v>31</v>
      </c>
      <c r="C11" s="203">
        <f>'[2] P&amp;L'!I29</f>
        <v>0.13753167628187848</v>
      </c>
      <c r="D11" s="203">
        <f>'[2] P&amp;L'!V29</f>
        <v>4.6893352346003017E-2</v>
      </c>
      <c r="E11" s="203">
        <f>'[2] P&amp;L'!AI29</f>
        <v>6.2873060161987099E-2</v>
      </c>
      <c r="F11" s="199" t="str">
        <f t="shared" si="0"/>
        <v>JSW Steel</v>
      </c>
      <c r="G11" s="198"/>
    </row>
    <row r="12" spans="1:7" ht="15" customHeight="1" x14ac:dyDescent="0.2">
      <c r="B12" s="197" t="s">
        <v>355</v>
      </c>
      <c r="C12" s="208">
        <f>'[2] P&amp;L'!I30</f>
        <v>104.30586792067101</v>
      </c>
      <c r="D12" s="208">
        <f>'[2] P&amp;L'!V30</f>
        <v>8.7201666199383201</v>
      </c>
      <c r="E12" s="208">
        <f>'[2] P&amp;L'!AI30</f>
        <v>32.946475835702302</v>
      </c>
      <c r="F12" s="195" t="str">
        <f t="shared" si="0"/>
        <v>JSW Steel</v>
      </c>
      <c r="G12" s="194"/>
    </row>
    <row r="13" spans="1:7" ht="15" customHeight="1" x14ac:dyDescent="0.2">
      <c r="B13" s="201" t="s">
        <v>354</v>
      </c>
      <c r="C13" s="204">
        <f>'[2] P&amp;L'!I32</f>
        <v>10.7616189038733</v>
      </c>
      <c r="D13" s="204">
        <f>'[2] P&amp;L'!V32</f>
        <v>22.001873170785501</v>
      </c>
      <c r="E13" s="204">
        <f>'[2] P&amp;L'!AI32</f>
        <v>33.785100584075103</v>
      </c>
      <c r="F13" s="199" t="s">
        <v>344</v>
      </c>
      <c r="G13" s="198" t="s">
        <v>353</v>
      </c>
    </row>
    <row r="14" spans="1:7" ht="15" customHeight="1" x14ac:dyDescent="0.2">
      <c r="B14" s="197" t="s">
        <v>75</v>
      </c>
      <c r="C14" s="205">
        <f>'[2] P&amp;L'!I34</f>
        <v>274507.375</v>
      </c>
      <c r="D14" s="205">
        <f>'[2] P&amp;L'!V34</f>
        <v>239508.43100000001</v>
      </c>
      <c r="E14" s="205">
        <f>'[2] P&amp;L'!AI34</f>
        <v>113547.33100000001</v>
      </c>
      <c r="F14" s="195" t="s">
        <v>344</v>
      </c>
      <c r="G14" s="194" t="s">
        <v>352</v>
      </c>
    </row>
    <row r="15" spans="1:7" ht="15" customHeight="1" x14ac:dyDescent="0.2">
      <c r="B15" s="201" t="s">
        <v>351</v>
      </c>
      <c r="C15" s="206">
        <f>'[2]CASH FLOW '!I3</f>
        <v>25152</v>
      </c>
      <c r="D15" s="206">
        <f>'[2]CASH FLOW '!I20</f>
        <v>35064.46</v>
      </c>
      <c r="E15" s="206">
        <f>'[2]CASH FLOW '!I37</f>
        <v>7204.23</v>
      </c>
      <c r="F15" s="199" t="str">
        <f>INDEX($C$5:$E$5,MATCH(MAX(C15:E15),C15:E15,0))</f>
        <v>Tata Steel</v>
      </c>
      <c r="G15" s="198"/>
    </row>
    <row r="16" spans="1:7" ht="15" customHeight="1" x14ac:dyDescent="0.2">
      <c r="B16" s="197" t="s">
        <v>105</v>
      </c>
      <c r="C16" s="205">
        <f>'[2]CASH FLOW '!I11</f>
        <v>14542</v>
      </c>
      <c r="D16" s="205">
        <f>'[2]CASH FLOW '!I28</f>
        <v>13158</v>
      </c>
      <c r="E16" s="205">
        <f>'[2]CASH FLOW '!I45</f>
        <v>9547</v>
      </c>
      <c r="F16" s="195" t="s">
        <v>344</v>
      </c>
      <c r="G16" s="194" t="s">
        <v>350</v>
      </c>
    </row>
    <row r="17" spans="1:9" ht="15" customHeight="1" x14ac:dyDescent="0.2">
      <c r="B17" s="201" t="s">
        <v>349</v>
      </c>
      <c r="C17" s="206">
        <f>'[2]CASH FLOW '!I3-'[2]CASH FLOW '!I11</f>
        <v>10610</v>
      </c>
      <c r="D17" s="206">
        <f>'[2]CASH FLOW '!I20-'[2]CASH FLOW '!I28</f>
        <v>21906.46</v>
      </c>
      <c r="E17" s="206">
        <f>'[2]CASH FLOW '!I37-'[2]CASH FLOW '!I45</f>
        <v>-2342.7700000000004</v>
      </c>
      <c r="F17" s="199" t="str">
        <f>INDEX($C$5:$E$5,MATCH(MAX(C17:E17),C17:E17,0))</f>
        <v>Tata Steel</v>
      </c>
      <c r="G17" s="198"/>
    </row>
    <row r="18" spans="1:9" ht="15" customHeight="1" x14ac:dyDescent="0.2">
      <c r="B18" s="197" t="s">
        <v>348</v>
      </c>
      <c r="C18" s="207">
        <f>('[2]CASH FLOW '!I3-'[2]CASH FLOW '!I11)/'[2] P&amp;L'!I2</f>
        <v>5.720601714563002E-2</v>
      </c>
      <c r="D18" s="207">
        <f>('[2]CASH FLOW '!I20-'[2]CASH FLOW '!I28)/'[2] P&amp;L'!V2</f>
        <v>9.4367475066978984E-2</v>
      </c>
      <c r="E18" s="207">
        <f>('[2]CASH FLOW '!I37-'[2]CASH FLOW '!I45)/'[2] P&amp;L'!AI2</f>
        <v>-4.382708023687281E-2</v>
      </c>
      <c r="F18" s="195" t="str">
        <f>INDEX($C$5:$E$5,MATCH(MAX(C18:E18),C18:E18,0))</f>
        <v>Tata Steel</v>
      </c>
      <c r="G18" s="194"/>
    </row>
    <row r="19" spans="1:9" ht="15" customHeight="1" x14ac:dyDescent="0.2">
      <c r="B19" s="201" t="s">
        <v>347</v>
      </c>
      <c r="C19" s="206">
        <f>'[2]BALANCE SHEET'!I5</f>
        <v>99310</v>
      </c>
      <c r="D19" s="206">
        <f>'[2]BALANCE SHEET'!I24</f>
        <v>92381.68</v>
      </c>
      <c r="E19" s="206">
        <f>'[2]BALANCE SHEET'!I43</f>
        <v>22609.55</v>
      </c>
      <c r="F19" s="199" t="s">
        <v>344</v>
      </c>
      <c r="G19" s="198" t="s">
        <v>346</v>
      </c>
    </row>
    <row r="20" spans="1:9" ht="15" customHeight="1" x14ac:dyDescent="0.2">
      <c r="B20" s="197" t="s">
        <v>345</v>
      </c>
      <c r="C20" s="205">
        <f>'[2]BALANCE SHEET'!I3+'[2]BALANCE SHEET'!I4</f>
        <v>100053</v>
      </c>
      <c r="D20" s="205">
        <f>'[2]BALANCE SHEET'!I22+'[2]BALANCE SHEET'!I23</f>
        <v>102167.65000000001</v>
      </c>
      <c r="E20" s="205">
        <f>'[2]BALANCE SHEET'!I41+'[2]BALANCE SHEET'!I42</f>
        <v>50898.91</v>
      </c>
      <c r="F20" s="195" t="s">
        <v>344</v>
      </c>
      <c r="G20" s="194"/>
    </row>
    <row r="21" spans="1:9" ht="15" customHeight="1" x14ac:dyDescent="0.2">
      <c r="B21" s="201" t="s">
        <v>236</v>
      </c>
      <c r="C21" s="204">
        <f>'[2]RATIOS '!I25</f>
        <v>0.99257393581401854</v>
      </c>
      <c r="D21" s="204">
        <f>'[2]RATIOS '!R25</f>
        <v>0.90421654995490242</v>
      </c>
      <c r="E21" s="204">
        <f>'[2]RATIOS '!AA25</f>
        <v>0.4442049937808098</v>
      </c>
      <c r="F21" s="199" t="str">
        <f>INDEX($C$5:$E$5,MATCH(MIN(C21:E21),C21:E21,0))</f>
        <v>JSPL (Jindal)</v>
      </c>
      <c r="G21" s="198"/>
    </row>
    <row r="22" spans="1:9" ht="15" customHeight="1" x14ac:dyDescent="0.2">
      <c r="B22" s="197" t="s">
        <v>343</v>
      </c>
      <c r="C22" s="202">
        <f>'[2] P&amp;L'!I21</f>
        <v>2.1822676334871458</v>
      </c>
      <c r="D22" s="202">
        <f>'[2] P&amp;L'!V21</f>
        <v>3.1251210398685094</v>
      </c>
      <c r="E22" s="202">
        <f>'[2] P&amp;L'!AI21</f>
        <v>4.3073108977740242</v>
      </c>
      <c r="F22" s="195" t="str">
        <f>INDEX($C$5:$E$5,MATCH(MAX(C22:E22),C22:E22,0))</f>
        <v>JSPL (Jindal)</v>
      </c>
      <c r="G22" s="194"/>
    </row>
    <row r="23" spans="1:9" ht="15" customHeight="1" x14ac:dyDescent="0.2">
      <c r="B23" s="201" t="s">
        <v>342</v>
      </c>
      <c r="C23" s="203">
        <f>'[2] P&amp;L'!I27/AVERAGE('[2]BALANCE SHEET'!H3+'[2]BALANCE SHEET'!H4,'[2]BALANCE SHEET'!I3+'[2]BALANCE SHEET'!I4)</f>
        <v>0.28413413608541399</v>
      </c>
      <c r="D23" s="203">
        <f>'[2] P&amp;L'!V27/AVERAGE('[2]BALANCE SHEET'!H22+'[2]BALANCE SHEET'!H23,'[2]BALANCE SHEET'!I22+'[2]BALANCE SHEET'!I23)</f>
        <v>0.11260963224474864</v>
      </c>
      <c r="E23" s="203">
        <f>'[2] P&amp;L'!AI27/AVERAGE('[2]BALANCE SHEET'!H41+'[2]BALANCE SHEET'!H42,'[2]BALANCE SHEET'!I41+'[2]BALANCE SHEET'!I42)</f>
        <v>6.8530590019003051E-2</v>
      </c>
      <c r="F23" s="199" t="str">
        <f>INDEX($C$5:$E$5,MATCH(MAX(C23:E23),C23:E23,0))</f>
        <v>JSW Steel</v>
      </c>
      <c r="G23" s="198" t="s">
        <v>341</v>
      </c>
    </row>
    <row r="24" spans="1:9" ht="15" customHeight="1" x14ac:dyDescent="0.2">
      <c r="B24" s="197" t="s">
        <v>20</v>
      </c>
      <c r="C24" s="202">
        <f>'[2]RATIOS '!I22</f>
        <v>0.68779713563105904</v>
      </c>
      <c r="D24" s="202">
        <f>'[2]RATIOS '!R22</f>
        <v>0.782895426876422</v>
      </c>
      <c r="E24" s="202">
        <f>'[2]RATIOS '!AA22</f>
        <v>0.54749713575898096</v>
      </c>
      <c r="F24" s="195" t="str">
        <f>INDEX($C$5:$E$5,MATCH(MAX(C24:E24),C24:E24,0))</f>
        <v>Tata Steel</v>
      </c>
      <c r="G24" s="194"/>
    </row>
    <row r="25" spans="1:9" ht="15" customHeight="1" x14ac:dyDescent="0.2">
      <c r="B25" s="201" t="s">
        <v>16</v>
      </c>
      <c r="C25" s="200">
        <f>'[2]RATIOS '!I18</f>
        <v>22.1593788752898</v>
      </c>
      <c r="D25" s="200">
        <f>'[2]RATIOS '!R18</f>
        <v>7.7309611176775501</v>
      </c>
      <c r="E25" s="200">
        <f>'[2]RATIOS '!AA18</f>
        <v>11.805944643002499</v>
      </c>
      <c r="F25" s="199" t="str">
        <f>INDEX($C$5:$E$5,MATCH(MIN(C25:E25),C25:E25,0))</f>
        <v>Tata Steel</v>
      </c>
      <c r="G25" s="198"/>
    </row>
    <row r="26" spans="1:9" ht="15" customHeight="1" x14ac:dyDescent="0.2">
      <c r="B26" s="197" t="s">
        <v>18</v>
      </c>
      <c r="C26" s="196">
        <f>'[2]RATIOS '!I20</f>
        <v>64.480643769881894</v>
      </c>
      <c r="D26" s="196">
        <f>'[2]RATIOS '!R20</f>
        <v>74.291245616760307</v>
      </c>
      <c r="E26" s="196">
        <f>'[2]RATIOS '!AA20</f>
        <v>54.781017063933398</v>
      </c>
      <c r="F26" s="195" t="str">
        <f>INDEX($C$5:$E$5,MATCH(MIN(C26:E26),C26:E26,0))</f>
        <v>JSPL (Jindal)</v>
      </c>
      <c r="G26" s="194"/>
    </row>
    <row r="28" spans="1:9" ht="19.5" customHeight="1" x14ac:dyDescent="0.2">
      <c r="A28" s="224" t="s">
        <v>340</v>
      </c>
      <c r="B28" s="224"/>
      <c r="C28" s="224"/>
      <c r="D28" s="224"/>
      <c r="E28" s="224"/>
      <c r="F28" s="224"/>
      <c r="G28" s="224"/>
    </row>
    <row r="29" spans="1:9" x14ac:dyDescent="0.2">
      <c r="B29" s="193" t="s">
        <v>339</v>
      </c>
      <c r="C29" s="185" t="s">
        <v>338</v>
      </c>
      <c r="D29" s="185" t="s">
        <v>337</v>
      </c>
      <c r="E29" s="185" t="s">
        <v>336</v>
      </c>
      <c r="F29" s="185" t="s">
        <v>335</v>
      </c>
      <c r="G29" s="185" t="s">
        <v>334</v>
      </c>
      <c r="H29" s="185" t="s">
        <v>333</v>
      </c>
      <c r="I29" s="185" t="s">
        <v>168</v>
      </c>
    </row>
    <row r="30" spans="1:9" x14ac:dyDescent="0.2">
      <c r="B30" s="190" t="s">
        <v>332</v>
      </c>
      <c r="C30" s="189"/>
      <c r="D30" s="189"/>
      <c r="E30" s="189"/>
      <c r="F30" s="189"/>
      <c r="G30" s="189"/>
      <c r="H30" s="189"/>
      <c r="I30" s="189"/>
    </row>
    <row r="31" spans="1:9" x14ac:dyDescent="0.2">
      <c r="B31" s="188" t="s">
        <v>0</v>
      </c>
      <c r="C31" s="187">
        <f>'[2] P&amp;L'!C2</f>
        <v>73326</v>
      </c>
      <c r="D31" s="187">
        <f>'[2] P&amp;L'!D2</f>
        <v>79839</v>
      </c>
      <c r="E31" s="187">
        <f>'[2] P&amp;L'!E2</f>
        <v>146371</v>
      </c>
      <c r="F31" s="187">
        <f>'[2] P&amp;L'!F2</f>
        <v>165960</v>
      </c>
      <c r="G31" s="187">
        <f>'[2] P&amp;L'!G2</f>
        <v>175006</v>
      </c>
      <c r="H31" s="187">
        <f>'[2] P&amp;L'!H2</f>
        <v>168824</v>
      </c>
      <c r="I31" s="187">
        <f>'[2] P&amp;L'!I2</f>
        <v>185470</v>
      </c>
    </row>
    <row r="32" spans="1:9" x14ac:dyDescent="0.2">
      <c r="B32" s="188" t="s">
        <v>46</v>
      </c>
      <c r="C32" s="187">
        <f>'[2] P&amp;L'!P2</f>
        <v>139816.65</v>
      </c>
      <c r="D32" s="187">
        <f>'[2] P&amp;L'!Q2</f>
        <v>156477.4</v>
      </c>
      <c r="E32" s="187">
        <f>'[2] P&amp;L'!R2</f>
        <v>243959.17</v>
      </c>
      <c r="F32" s="187">
        <f>'[2] P&amp;L'!S2</f>
        <v>243352.69</v>
      </c>
      <c r="G32" s="187">
        <f>'[2] P&amp;L'!T2</f>
        <v>229170.78</v>
      </c>
      <c r="H32" s="187">
        <f>'[2] P&amp;L'!U2</f>
        <v>218542.51</v>
      </c>
      <c r="I32" s="187">
        <f>'[2] P&amp;L'!V2</f>
        <v>232139.94</v>
      </c>
    </row>
    <row r="33" spans="2:9" x14ac:dyDescent="0.2">
      <c r="B33" s="188" t="s">
        <v>327</v>
      </c>
      <c r="C33" s="187">
        <f>'[2] P&amp;L'!AC2</f>
        <v>37923.19</v>
      </c>
      <c r="D33" s="187">
        <f>'[2] P&amp;L'!AD2</f>
        <v>34578.9</v>
      </c>
      <c r="E33" s="187">
        <f>'[2] P&amp;L'!AE2</f>
        <v>51165.64</v>
      </c>
      <c r="F33" s="187">
        <f>'[2] P&amp;L'!AF2</f>
        <v>53211.519999999997</v>
      </c>
      <c r="G33" s="187">
        <f>'[2] P&amp;L'!AG2</f>
        <v>50354.45</v>
      </c>
      <c r="H33" s="187">
        <f>'[2] P&amp;L'!AH2</f>
        <v>50128.66</v>
      </c>
      <c r="I33" s="187">
        <f>'[2] P&amp;L'!AI2</f>
        <v>53454.85</v>
      </c>
    </row>
    <row r="35" spans="2:9" x14ac:dyDescent="0.2">
      <c r="B35" s="190" t="s">
        <v>331</v>
      </c>
      <c r="C35" s="189"/>
      <c r="D35" s="189"/>
      <c r="E35" s="189"/>
      <c r="F35" s="189"/>
      <c r="G35" s="189"/>
      <c r="H35" s="189"/>
      <c r="I35" s="189"/>
    </row>
    <row r="36" spans="2:9" x14ac:dyDescent="0.2">
      <c r="B36" s="188" t="s">
        <v>0</v>
      </c>
      <c r="C36" s="192">
        <f>'[2] P&amp;L'!C14</f>
        <v>0.16110247388375201</v>
      </c>
      <c r="D36" s="192">
        <f>'[2] P&amp;L'!D14</f>
        <v>0.25273362642317665</v>
      </c>
      <c r="E36" s="192">
        <f>'[2] P&amp;L'!E14</f>
        <v>0.26722506507436583</v>
      </c>
      <c r="F36" s="192">
        <f>'[2] P&amp;L'!F14</f>
        <v>0.11129187756085804</v>
      </c>
      <c r="G36" s="192">
        <f>'[2] P&amp;L'!G14</f>
        <v>0.16089162657280323</v>
      </c>
      <c r="H36" s="192">
        <f>'[2] P&amp;L'!H14</f>
        <v>0.134607638724352</v>
      </c>
      <c r="I36" s="192">
        <f>'[2] P&amp;L'!I14</f>
        <v>0.15886127136464118</v>
      </c>
    </row>
    <row r="37" spans="2:9" x14ac:dyDescent="0.2">
      <c r="B37" s="188" t="s">
        <v>46</v>
      </c>
      <c r="C37" s="192">
        <f>'[2] P&amp;L'!P14</f>
        <v>0.12489971687921288</v>
      </c>
      <c r="D37" s="192">
        <f>'[2] P&amp;L'!Q14</f>
        <v>0.19494355095368401</v>
      </c>
      <c r="E37" s="192">
        <f>'[2] P&amp;L'!R14</f>
        <v>0.26024826203499546</v>
      </c>
      <c r="F37" s="192">
        <f>'[2] P&amp;L'!S14</f>
        <v>0.13272982517678356</v>
      </c>
      <c r="G37" s="192">
        <f>'[2] P&amp;L'!T14</f>
        <v>9.7080090227907825E-2</v>
      </c>
      <c r="H37" s="192">
        <f>'[2] P&amp;L'!U14</f>
        <v>0.11575985834517967</v>
      </c>
      <c r="I37" s="192">
        <f>'[2] P&amp;L'!V14</f>
        <v>0.14798160109802735</v>
      </c>
    </row>
    <row r="38" spans="2:9" x14ac:dyDescent="0.2">
      <c r="B38" s="188" t="s">
        <v>327</v>
      </c>
      <c r="C38" s="192">
        <f>'[2] P&amp;L'!AC14</f>
        <v>0.18012857040771102</v>
      </c>
      <c r="D38" s="192">
        <f>'[2] P&amp;L'!AD14</f>
        <v>0.3790392406930238</v>
      </c>
      <c r="E38" s="192">
        <f>'[2] P&amp;L'!AE14</f>
        <v>0.30408922863077642</v>
      </c>
      <c r="F38" s="192">
        <f>'[2] P&amp;L'!AF14</f>
        <v>0.18683811325066443</v>
      </c>
      <c r="G38" s="192">
        <f>'[2] P&amp;L'!AG14</f>
        <v>0.2025950040165268</v>
      </c>
      <c r="H38" s="192">
        <f>'[2] P&amp;L'!AH14</f>
        <v>0.18927874792583724</v>
      </c>
      <c r="I38" s="192">
        <f>'[2] P&amp;L'!AI14</f>
        <v>0.18153806436646996</v>
      </c>
    </row>
    <row r="40" spans="2:9" x14ac:dyDescent="0.2">
      <c r="B40" s="190" t="s">
        <v>330</v>
      </c>
      <c r="C40" s="189"/>
      <c r="D40" s="189"/>
      <c r="E40" s="189"/>
      <c r="F40" s="189"/>
      <c r="G40" s="189"/>
      <c r="H40" s="189"/>
      <c r="I40" s="189"/>
    </row>
    <row r="41" spans="2:9" x14ac:dyDescent="0.2">
      <c r="B41" s="188" t="s">
        <v>0</v>
      </c>
      <c r="C41" s="192">
        <f>'[2] P&amp;L'!C29</f>
        <v>5.3446253716280721E-2</v>
      </c>
      <c r="D41" s="192">
        <f>'[2] P&amp;L'!D29</f>
        <v>9.861095454602388E-2</v>
      </c>
      <c r="E41" s="192">
        <f>'[2] P&amp;L'!E29</f>
        <v>0.14304746158733628</v>
      </c>
      <c r="F41" s="192">
        <f>'[2] P&amp;L'!F29</f>
        <v>2.4939744516751024E-2</v>
      </c>
      <c r="G41" s="192">
        <f>'[2] P&amp;L'!G29</f>
        <v>5.1272527799046889E-2</v>
      </c>
      <c r="H41" s="192">
        <f>'[2] P&amp;L'!H29</f>
        <v>2.0678339572572622E-2</v>
      </c>
      <c r="I41" s="192">
        <f>'[2] P&amp;L'!I29</f>
        <v>0.13753167628187848</v>
      </c>
    </row>
    <row r="42" spans="2:9" x14ac:dyDescent="0.2">
      <c r="B42" s="188" t="s">
        <v>46</v>
      </c>
      <c r="C42" s="192">
        <f>'[2] P&amp;L'!P29</f>
        <v>8.3942076998697792E-3</v>
      </c>
      <c r="D42" s="192">
        <f>'[2] P&amp;L'!Q29</f>
        <v>5.2338484662960885E-2</v>
      </c>
      <c r="E42" s="192">
        <f>'[2] P&amp;L'!R29</f>
        <v>0.17113240711550218</v>
      </c>
      <c r="F42" s="192">
        <f>'[2] P&amp;L'!S29</f>
        <v>3.3183730165464789E-2</v>
      </c>
      <c r="G42" s="192">
        <f>'[2] P&amp;L'!T29</f>
        <v>-2.1423368197289315E-2</v>
      </c>
      <c r="H42" s="192">
        <f>'[2] P&amp;L'!U29</f>
        <v>1.45224835204831E-2</v>
      </c>
      <c r="I42" s="192">
        <f>'[2] P&amp;L'!V29</f>
        <v>4.6893352346003017E-2</v>
      </c>
    </row>
    <row r="43" spans="2:9" x14ac:dyDescent="0.2">
      <c r="B43" s="188" t="s">
        <v>327</v>
      </c>
      <c r="C43" s="192">
        <f>'[2] P&amp;L'!AC29</f>
        <v>-1.0539725165525296E-2</v>
      </c>
      <c r="D43" s="192">
        <f>'[2] P&amp;L'!AD29</f>
        <v>0.12340010815844346</v>
      </c>
      <c r="E43" s="192">
        <f>'[2] P&amp;L'!AE29</f>
        <v>0.13223639927107328</v>
      </c>
      <c r="F43" s="192">
        <f>'[2] P&amp;L'!AF29</f>
        <v>7.4684767508990432E-2</v>
      </c>
      <c r="G43" s="192">
        <f>'[2] P&amp;L'!AG29</f>
        <v>0.11802968754499349</v>
      </c>
      <c r="H43" s="192">
        <f>'[2] P&amp;L'!AH29</f>
        <v>5.676752580260476E-2</v>
      </c>
      <c r="I43" s="192">
        <f>'[2] P&amp;L'!AI29</f>
        <v>6.2873060161987099E-2</v>
      </c>
    </row>
    <row r="45" spans="2:9" x14ac:dyDescent="0.2">
      <c r="B45" s="190" t="s">
        <v>329</v>
      </c>
      <c r="C45" s="189"/>
      <c r="D45" s="189"/>
      <c r="E45" s="189"/>
      <c r="F45" s="189"/>
      <c r="G45" s="189"/>
      <c r="H45" s="189"/>
      <c r="I45" s="189"/>
    </row>
    <row r="46" spans="2:9" x14ac:dyDescent="0.2">
      <c r="B46" s="188" t="s">
        <v>0</v>
      </c>
      <c r="C46" s="192">
        <f>'[2] P&amp;L'!C27/('[2]BALANCE SHEET'!C3+'[2]BALANCE SHEET'!C4)</f>
        <v>0.10707942839968305</v>
      </c>
      <c r="D46" s="192">
        <f>'[2] P&amp;L'!D27/AVERAGE('[2]BALANCE SHEET'!C3+'[2]BALANCE SHEET'!C4,'[2]BALANCE SHEET'!D3+'[2]BALANCE SHEET'!D4)</f>
        <v>0.19153620649807199</v>
      </c>
      <c r="E46" s="192">
        <f>'[2] P&amp;L'!E27/AVERAGE('[2]BALANCE SHEET'!D3+'[2]BALANCE SHEET'!D4,'[2]BALANCE SHEET'!E3+'[2]BALANCE SHEET'!E4)</f>
        <v>0.37088931598572278</v>
      </c>
      <c r="F46" s="192">
        <f>'[2] P&amp;L'!F27/AVERAGE('[2]BALANCE SHEET'!E3+'[2]BALANCE SHEET'!E4,'[2]BALANCE SHEET'!F3+'[2]BALANCE SHEET'!F4)</f>
        <v>6.2244345524542832E-2</v>
      </c>
      <c r="G46" s="192">
        <f>'[2] P&amp;L'!G27/AVERAGE('[2]BALANCE SHEET'!F3+'[2]BALANCE SHEET'!F4,'[2]BALANCE SHEET'!G3+'[2]BALANCE SHEET'!G4)</f>
        <v>0.12517786892106805</v>
      </c>
      <c r="H46" s="192">
        <f>'[2] P&amp;L'!H27/AVERAGE('[2]BALANCE SHEET'!G3+'[2]BALANCE SHEET'!G4,'[2]BALANCE SHEET'!H3+'[2]BALANCE SHEET'!H4)</f>
        <v>4.4424649253968759E-2</v>
      </c>
      <c r="I46" s="192">
        <f>'[2] P&amp;L'!I27/AVERAGE('[2]BALANCE SHEET'!H3+'[2]BALANCE SHEET'!H4,'[2]BALANCE SHEET'!I3+'[2]BALANCE SHEET'!I4)</f>
        <v>0.28413413608541399</v>
      </c>
    </row>
    <row r="47" spans="2:9" x14ac:dyDescent="0.2">
      <c r="B47" s="188" t="s">
        <v>46</v>
      </c>
      <c r="C47" s="192">
        <f>'[2] P&amp;L'!P27/('[2]BALANCE SHEET'!C22+'[2]BALANCE SHEET'!C23)</f>
        <v>1.5951468067842468E-2</v>
      </c>
      <c r="D47" s="192">
        <f>'[2] P&amp;L'!Q27/AVERAGE('[2]BALANCE SHEET'!C22+'[2]BALANCE SHEET'!C23,'[2]BALANCE SHEET'!D22+'[2]BALANCE SHEET'!D23)</f>
        <v>0.1108112995515274</v>
      </c>
      <c r="E47" s="192">
        <f>'[2] P&amp;L'!R27/AVERAGE('[2]BALANCE SHEET'!D22+'[2]BALANCE SHEET'!D23,'[2]BALANCE SHEET'!E22+'[2]BALANCE SHEET'!E23)</f>
        <v>0.44253677659759577</v>
      </c>
      <c r="F47" s="192">
        <f>'[2] P&amp;L'!S27/AVERAGE('[2]BALANCE SHEET'!E22+'[2]BALANCE SHEET'!E23,'[2]BALANCE SHEET'!F22+'[2]BALANCE SHEET'!F23)</f>
        <v>7.4247509965974526E-2</v>
      </c>
      <c r="G47" s="192">
        <f>'[2] P&amp;L'!T27/AVERAGE('[2]BALANCE SHEET'!F22+'[2]BALANCE SHEET'!F23,'[2]BALANCE SHEET'!G22+'[2]BALANCE SHEET'!G23)</f>
        <v>-5.0324557680163015E-2</v>
      </c>
      <c r="H47" s="192">
        <f>'[2] P&amp;L'!U27/AVERAGE('[2]BALANCE SHEET'!G22+'[2]BALANCE SHEET'!G23,'[2]BALANCE SHEET'!H22+'[2]BALANCE SHEET'!H23)</f>
        <v>3.4647233905072475E-2</v>
      </c>
      <c r="I47" s="192">
        <f>'[2] P&amp;L'!V27/AVERAGE('[2]BALANCE SHEET'!H22+'[2]BALANCE SHEET'!H23,'[2]BALANCE SHEET'!I22+'[2]BALANCE SHEET'!I23)</f>
        <v>0.11260963224474864</v>
      </c>
    </row>
    <row r="48" spans="2:9" x14ac:dyDescent="0.2">
      <c r="B48" s="188" t="s">
        <v>327</v>
      </c>
      <c r="C48" s="192">
        <f>'[2] P&amp;L'!AC27/('[2]BALANCE SHEET'!C41+'[2]BALANCE SHEET'!C42)</f>
        <v>-1.2437323296348004E-2</v>
      </c>
      <c r="D48" s="192">
        <f>'[2] P&amp;L'!AD27/AVERAGE('[2]BALANCE SHEET'!C41+'[2]BALANCE SHEET'!C42,'[2]BALANCE SHEET'!D41+'[2]BALANCE SHEET'!D42)</f>
        <v>0.13344548027647696</v>
      </c>
      <c r="E48" s="192">
        <f>'[2] P&amp;L'!AE27/AVERAGE('[2]BALANCE SHEET'!D41+'[2]BALANCE SHEET'!D42,'[2]BALANCE SHEET'!E41+'[2]BALANCE SHEET'!E42)</f>
        <v>0.2006532389927361</v>
      </c>
      <c r="F48" s="192">
        <f>'[2] P&amp;L'!AF27/AVERAGE('[2]BALANCE SHEET'!E41+'[2]BALANCE SHEET'!E42,'[2]BALANCE SHEET'!F41+'[2]BALANCE SHEET'!F42)</f>
        <v>0.10692918523501205</v>
      </c>
      <c r="G48" s="192">
        <f>'[2] P&amp;L'!AG27/AVERAGE('[2]BALANCE SHEET'!F41+'[2]BALANCE SHEET'!F42,'[2]BALANCE SHEET'!G41+'[2]BALANCE SHEET'!G42)</f>
        <v>0.14317354551652195</v>
      </c>
      <c r="H48" s="192">
        <f>'[2] P&amp;L'!AH27/AVERAGE('[2]BALANCE SHEET'!G41+'[2]BALANCE SHEET'!G42,'[2]BALANCE SHEET'!H41+'[2]BALANCE SHEET'!H42)</f>
        <v>6.2200050731747017E-2</v>
      </c>
      <c r="I48" s="192">
        <f>'[2] P&amp;L'!AI27/AVERAGE('[2]BALANCE SHEET'!H41+'[2]BALANCE SHEET'!H42,'[2]BALANCE SHEET'!I41+'[2]BALANCE SHEET'!I42)</f>
        <v>6.8530590019003051E-2</v>
      </c>
    </row>
    <row r="50" spans="1:9" x14ac:dyDescent="0.2">
      <c r="B50" s="190" t="s">
        <v>328</v>
      </c>
      <c r="C50" s="189"/>
      <c r="D50" s="189"/>
      <c r="E50" s="189"/>
      <c r="F50" s="189"/>
      <c r="G50" s="189"/>
      <c r="H50" s="189"/>
      <c r="I50" s="189"/>
    </row>
    <row r="51" spans="1:9" x14ac:dyDescent="0.2">
      <c r="B51" s="188" t="s">
        <v>0</v>
      </c>
      <c r="C51" s="191">
        <f>'[2]RATIOS '!C25</f>
        <v>1.6782698980846471</v>
      </c>
      <c r="D51" s="191">
        <f>'[2]RATIOS '!D25</f>
        <v>1.4629905722429293</v>
      </c>
      <c r="E51" s="191">
        <f>'[2]RATIOS '!E25</f>
        <v>1.0734059467732588</v>
      </c>
      <c r="F51" s="191">
        <f>'[2]RATIOS '!F25</f>
        <v>1.2307329324910572</v>
      </c>
      <c r="G51" s="191">
        <f>'[2]RATIOS '!G25</f>
        <v>1.1328071688833383</v>
      </c>
      <c r="H51" s="191">
        <f>'[2]RATIOS '!H25</f>
        <v>1.2422260239508907</v>
      </c>
      <c r="I51" s="191">
        <f>'[2]RATIOS '!I25</f>
        <v>0.99257393581401854</v>
      </c>
    </row>
    <row r="52" spans="1:9" x14ac:dyDescent="0.2">
      <c r="B52" s="188" t="s">
        <v>46</v>
      </c>
      <c r="C52" s="191">
        <f>'[2]RATIOS '!L25</f>
        <v>1.5810553126482303</v>
      </c>
      <c r="D52" s="191">
        <f>'[2]RATIOS '!M25</f>
        <v>1.1921184847216622</v>
      </c>
      <c r="E52" s="191">
        <f>'[2]RATIOS '!N25</f>
        <v>0.6602529083463704</v>
      </c>
      <c r="F52" s="191">
        <f>'[2]RATIOS '!O25</f>
        <v>0.82354792927191045</v>
      </c>
      <c r="G52" s="191">
        <f>'[2]RATIOS '!P25</f>
        <v>0.946177007719608</v>
      </c>
      <c r="H52" s="191">
        <f>'[2]RATIOS '!Q25</f>
        <v>1.0398314658071992</v>
      </c>
      <c r="I52" s="191">
        <f>'[2]RATIOS '!R25</f>
        <v>0.90421654995490242</v>
      </c>
    </row>
    <row r="53" spans="1:9" x14ac:dyDescent="0.2">
      <c r="B53" s="188" t="s">
        <v>327</v>
      </c>
      <c r="C53" s="191">
        <f>'[2]RATIOS '!U25</f>
        <v>1.1458508753423611</v>
      </c>
      <c r="D53" s="191">
        <f>'[2]RATIOS '!V25</f>
        <v>0.94012259124485653</v>
      </c>
      <c r="E53" s="191">
        <f>'[2]RATIOS '!W25</f>
        <v>0.37899702060314405</v>
      </c>
      <c r="F53" s="191">
        <f>'[2]RATIOS '!X25</f>
        <v>0.33705655806931067</v>
      </c>
      <c r="G53" s="191">
        <f>'[2]RATIOS '!Y25</f>
        <v>0.37169727148269893</v>
      </c>
      <c r="H53" s="191">
        <f>'[2]RATIOS '!Z25</f>
        <v>0.39008428123585359</v>
      </c>
      <c r="I53" s="191">
        <f>'[2]RATIOS '!AA25</f>
        <v>0.4442049937808098</v>
      </c>
    </row>
    <row r="55" spans="1:9" x14ac:dyDescent="0.2">
      <c r="B55" s="190" t="s">
        <v>35</v>
      </c>
      <c r="C55" s="189"/>
      <c r="D55" s="189"/>
      <c r="E55" s="189"/>
      <c r="F55" s="189"/>
      <c r="G55" s="189"/>
      <c r="H55" s="189"/>
      <c r="I55" s="189"/>
    </row>
    <row r="56" spans="1:9" x14ac:dyDescent="0.2">
      <c r="B56" s="188" t="s">
        <v>0</v>
      </c>
      <c r="C56" s="187">
        <f>'[2]CASH FLOW '!C3-'[2]CASH FLOW '!C11</f>
        <v>18</v>
      </c>
      <c r="D56" s="187">
        <f>'[2]CASH FLOW '!D3-'[2]CASH FLOW '!D11</f>
        <v>7916</v>
      </c>
      <c r="E56" s="187">
        <f>'[2]CASH FLOW '!E3-'[2]CASH FLOW '!E11</f>
        <v>16222</v>
      </c>
      <c r="F56" s="187">
        <f>'[2]CASH FLOW '!F3-'[2]CASH FLOW '!F11</f>
        <v>8574</v>
      </c>
      <c r="G56" s="187">
        <f>'[2]CASH FLOW '!G3-'[2]CASH FLOW '!G11</f>
        <v>-3469</v>
      </c>
      <c r="H56" s="187">
        <f>'[2]CASH FLOW '!H3-'[2]CASH FLOW '!H11</f>
        <v>8264</v>
      </c>
      <c r="I56" s="187">
        <f>'[2]CASH FLOW '!I3-'[2]CASH FLOW '!I11</f>
        <v>10610</v>
      </c>
    </row>
    <row r="57" spans="1:9" x14ac:dyDescent="0.2">
      <c r="B57" s="188" t="s">
        <v>46</v>
      </c>
      <c r="C57" s="187">
        <f>'[2]CASH FLOW '!C20-'[2]CASH FLOW '!C28</f>
        <v>10156.720000000001</v>
      </c>
      <c r="D57" s="187">
        <f>'[2]CASH FLOW '!D20-'[2]CASH FLOW '!D28</f>
        <v>37792.68</v>
      </c>
      <c r="E57" s="187">
        <f>'[2]CASH FLOW '!E20-'[2]CASH FLOW '!E28</f>
        <v>34427.99</v>
      </c>
      <c r="F57" s="187">
        <f>'[2]CASH FLOW '!F20-'[2]CASH FLOW '!F28</f>
        <v>7869.0800000000017</v>
      </c>
      <c r="G57" s="187">
        <f>'[2]CASH FLOW '!G20-'[2]CASH FLOW '!G28</f>
        <v>2568.6699999999983</v>
      </c>
      <c r="H57" s="187">
        <f>'[2]CASH FLOW '!H20-'[2]CASH FLOW '!H28</f>
        <v>8730.5800000000017</v>
      </c>
      <c r="I57" s="187">
        <f>'[2]CASH FLOW '!I20-'[2]CASH FLOW '!I28</f>
        <v>21906.46</v>
      </c>
    </row>
    <row r="58" spans="1:9" x14ac:dyDescent="0.2">
      <c r="B58" s="188" t="s">
        <v>327</v>
      </c>
      <c r="C58" s="187">
        <f>'[2]CASH FLOW '!C37-'[2]CASH FLOW '!C45</f>
        <v>7308.32</v>
      </c>
      <c r="D58" s="187">
        <f>'[2]CASH FLOW '!D37-'[2]CASH FLOW '!D45</f>
        <v>11123.93</v>
      </c>
      <c r="E58" s="187">
        <f>'[2]CASH FLOW '!E37-'[2]CASH FLOW '!E45</f>
        <v>13175.77</v>
      </c>
      <c r="F58" s="187">
        <f>'[2]CASH FLOW '!F37-'[2]CASH FLOW '!F45</f>
        <v>945.40999999999985</v>
      </c>
      <c r="G58" s="187">
        <f>'[2]CASH FLOW '!G37-'[2]CASH FLOW '!G45</f>
        <v>-2418.6499999999996</v>
      </c>
      <c r="H58" s="187">
        <f>'[2]CASH FLOW '!H37-'[2]CASH FLOW '!H45</f>
        <v>333.95999999999913</v>
      </c>
      <c r="I58" s="187">
        <f>'[2]CASH FLOW '!I37-'[2]CASH FLOW '!I45</f>
        <v>-2342.7700000000004</v>
      </c>
    </row>
    <row r="61" spans="1:9" ht="19.5" customHeight="1" x14ac:dyDescent="0.2">
      <c r="A61" s="224" t="s">
        <v>326</v>
      </c>
      <c r="B61" s="224"/>
      <c r="C61" s="224"/>
      <c r="D61" s="224"/>
      <c r="E61" s="224"/>
      <c r="F61" s="224"/>
      <c r="G61" s="224"/>
    </row>
    <row r="62" spans="1:9" x14ac:dyDescent="0.2">
      <c r="B62" s="185" t="s">
        <v>325</v>
      </c>
      <c r="C62" s="185" t="s">
        <v>324</v>
      </c>
      <c r="D62" s="185" t="s">
        <v>157</v>
      </c>
      <c r="E62" s="185" t="s">
        <v>156</v>
      </c>
      <c r="F62" s="186"/>
      <c r="G62" s="185" t="s">
        <v>323</v>
      </c>
    </row>
    <row r="63" spans="1:9" x14ac:dyDescent="0.2">
      <c r="B63" s="180" t="s">
        <v>322</v>
      </c>
      <c r="C63" s="179">
        <v>1</v>
      </c>
      <c r="D63" s="178">
        <f>IFERROR(((C7-MIN($C7:$E7))/(MAX($C7:$E7)-MIN($C7:$E7)))*100,50)</f>
        <v>100</v>
      </c>
      <c r="E63" s="178">
        <f>IFERROR(((D7-MIN($C7:$E7))/(MAX($C7:$E7)-MIN($C7:$E7)))*100,50)</f>
        <v>0</v>
      </c>
      <c r="F63" s="178">
        <f>IFERROR(((E7-MIN($C7:$E7))/(MAX($C7:$E7)-MIN($C7:$E7)))*100,50)</f>
        <v>8.810050779310485</v>
      </c>
      <c r="G63" s="177" t="s">
        <v>319</v>
      </c>
    </row>
    <row r="64" spans="1:9" x14ac:dyDescent="0.2">
      <c r="B64" s="184" t="s">
        <v>182</v>
      </c>
      <c r="C64" s="183">
        <v>1</v>
      </c>
      <c r="D64" s="182">
        <f>IFERROR(((C9-MIN($C9:$E9))/(MAX($C9:$E9)-MIN($C9:$E9)))*100,50)</f>
        <v>32.421981361919485</v>
      </c>
      <c r="E64" s="182">
        <f>IFERROR(((D9-MIN($C9:$E9))/(MAX($C9:$E9)-MIN($C9:$E9)))*100,50)</f>
        <v>0</v>
      </c>
      <c r="F64" s="182">
        <f>IFERROR(((E9-MIN($C9:$E9))/(MAX($C9:$E9)-MIN($C9:$E9)))*100,50)</f>
        <v>100</v>
      </c>
      <c r="G64" s="181" t="s">
        <v>319</v>
      </c>
    </row>
    <row r="65" spans="1:7" x14ac:dyDescent="0.2">
      <c r="B65" s="180" t="s">
        <v>31</v>
      </c>
      <c r="C65" s="179">
        <v>1</v>
      </c>
      <c r="D65" s="178">
        <f>IFERROR(((C11-MIN($C11:$E11))/(MAX($C11:$E11)-MIN($C11:$E11)))*100,50)</f>
        <v>100</v>
      </c>
      <c r="E65" s="178">
        <f>IFERROR(((D11-MIN($C11:$E11))/(MAX($C11:$E11)-MIN($C11:$E11)))*100,50)</f>
        <v>0</v>
      </c>
      <c r="F65" s="178">
        <f>IFERROR(((E11-MIN($C11:$E11))/(MAX($C11:$E11)-MIN($C11:$E11)))*100,50)</f>
        <v>17.63018899962157</v>
      </c>
      <c r="G65" s="177" t="s">
        <v>319</v>
      </c>
    </row>
    <row r="66" spans="1:7" x14ac:dyDescent="0.2">
      <c r="B66" s="184" t="s">
        <v>33</v>
      </c>
      <c r="C66" s="183">
        <v>1</v>
      </c>
      <c r="D66" s="182">
        <f>IFERROR(((C23-MIN($C23:$E23))/(MAX($C23:$E23)-MIN($C23:$E23)))*100,50)</f>
        <v>100</v>
      </c>
      <c r="E66" s="182">
        <f>IFERROR(((D23-MIN($C23:$E23))/(MAX($C23:$E23)-MIN($C23:$E23)))*100,50)</f>
        <v>20.4444885206889</v>
      </c>
      <c r="F66" s="182">
        <f>IFERROR(((E23-MIN($C23:$E23))/(MAX($C23:$E23)-MIN($C23:$E23)))*100,50)</f>
        <v>0</v>
      </c>
      <c r="G66" s="181" t="s">
        <v>319</v>
      </c>
    </row>
    <row r="67" spans="1:7" x14ac:dyDescent="0.2">
      <c r="B67" s="180" t="s">
        <v>321</v>
      </c>
      <c r="C67" s="179">
        <v>1</v>
      </c>
      <c r="D67" s="178">
        <f>IFERROR(((C18-MIN($C18:$E18))/(MAX($C18:$E18)-MIN($C18:$E18)))*100,50)</f>
        <v>73.109318352201967</v>
      </c>
      <c r="E67" s="178">
        <f>IFERROR(((D18-MIN($C18:$E18))/(MAX($C18:$E18)-MIN($C18:$E18)))*100,50)</f>
        <v>100</v>
      </c>
      <c r="F67" s="178">
        <f>IFERROR(((E18-MIN($C18:$E18))/(MAX($C18:$E18)-MIN($C18:$E18)))*100,50)</f>
        <v>0</v>
      </c>
      <c r="G67" s="177" t="s">
        <v>319</v>
      </c>
    </row>
    <row r="68" spans="1:7" x14ac:dyDescent="0.2">
      <c r="B68" s="184" t="s">
        <v>224</v>
      </c>
      <c r="C68" s="183">
        <v>1</v>
      </c>
      <c r="D68" s="182">
        <f>IFERROR(((C22-MIN($C22:$E22))/(MAX($C22:$E22)-MIN($C22:$E22)))*100,50)</f>
        <v>0</v>
      </c>
      <c r="E68" s="182">
        <f>IFERROR(((D22-MIN($C22:$E22))/(MAX($C22:$E22)-MIN($C22:$E22)))*100,50)</f>
        <v>44.36866873379946</v>
      </c>
      <c r="F68" s="182">
        <f>IFERROR(((E22-MIN($C22:$E22))/(MAX($C22:$E22)-MIN($C22:$E22)))*100,50)</f>
        <v>100</v>
      </c>
      <c r="G68" s="181" t="s">
        <v>319</v>
      </c>
    </row>
    <row r="69" spans="1:7" x14ac:dyDescent="0.2">
      <c r="B69" s="180" t="s">
        <v>320</v>
      </c>
      <c r="C69" s="179">
        <v>1</v>
      </c>
      <c r="D69" s="178">
        <f>IFERROR(((MAX($C21:$E21)-C21)/(MAX($C21:$E21)-MIN($C21:$E21)))*100,50)</f>
        <v>0</v>
      </c>
      <c r="E69" s="178">
        <f>IFERROR(((MAX($C21:$E21)-D21)/(MAX($C21:$E21)-MIN($C21:$E21)))*100,50)</f>
        <v>16.112762610426117</v>
      </c>
      <c r="F69" s="178">
        <f>IFERROR(((MAX($C21:$E21)-E21)/(MAX($C21:$E21)-MIN($C21:$E21)))*100,50)</f>
        <v>100</v>
      </c>
      <c r="G69" s="177" t="s">
        <v>319</v>
      </c>
    </row>
    <row r="70" spans="1:7" x14ac:dyDescent="0.2">
      <c r="B70" s="176" t="s">
        <v>318</v>
      </c>
      <c r="C70" s="175">
        <f>SUM(C63:C69)</f>
        <v>7</v>
      </c>
      <c r="D70" s="175">
        <f>SUMPRODUCT($C$63:$C$69,D63:D69)/SUM($C$63:$C$69)</f>
        <v>57.933042816303065</v>
      </c>
      <c r="E70" s="175">
        <f>SUMPRODUCT($C$63:$C$69,E63:E69)/SUM($C$63:$C$69)</f>
        <v>25.846559980702068</v>
      </c>
      <c r="F70" s="175">
        <f>SUMPRODUCT($C$63:$C$69,F63:F69)/SUM($C$63:$C$69)</f>
        <v>46.634319968418865</v>
      </c>
      <c r="G70" s="174" t="s">
        <v>317</v>
      </c>
    </row>
    <row r="71" spans="1:7" x14ac:dyDescent="0.2">
      <c r="B71" s="173" t="s">
        <v>316</v>
      </c>
      <c r="D71" s="172">
        <f>RANK(D70,$D$70:$F$70)</f>
        <v>1</v>
      </c>
      <c r="E71" s="172">
        <f>RANK(E70,$D$70:$F$70)</f>
        <v>3</v>
      </c>
      <c r="F71" s="172">
        <f>RANK(F70,$D$70:$F$70)</f>
        <v>2</v>
      </c>
    </row>
    <row r="73" spans="1:7" ht="19.5" customHeight="1" x14ac:dyDescent="0.2">
      <c r="A73" s="224" t="s">
        <v>315</v>
      </c>
      <c r="B73" s="224"/>
      <c r="C73" s="224"/>
      <c r="D73" s="224"/>
      <c r="E73" s="224"/>
      <c r="F73" s="224"/>
      <c r="G73" s="224"/>
    </row>
    <row r="74" spans="1:7" ht="27.75" customHeight="1" x14ac:dyDescent="0.2">
      <c r="B74" s="223" t="s">
        <v>314</v>
      </c>
      <c r="C74" s="223"/>
      <c r="D74" s="223"/>
      <c r="E74" s="223"/>
      <c r="F74" s="223"/>
      <c r="G74" s="223"/>
    </row>
    <row r="75" spans="1:7" ht="27.75" customHeight="1" x14ac:dyDescent="0.2">
      <c r="B75" s="223" t="s">
        <v>313</v>
      </c>
      <c r="C75" s="223"/>
      <c r="D75" s="223"/>
      <c r="E75" s="223"/>
      <c r="F75" s="223"/>
      <c r="G75" s="223"/>
    </row>
    <row r="76" spans="1:7" ht="27.75" customHeight="1" x14ac:dyDescent="0.2">
      <c r="B76" s="223" t="s">
        <v>312</v>
      </c>
      <c r="C76" s="223"/>
      <c r="D76" s="223"/>
      <c r="E76" s="223"/>
      <c r="F76" s="223"/>
      <c r="G76" s="223"/>
    </row>
    <row r="77" spans="1:7" ht="27.75" customHeight="1" x14ac:dyDescent="0.2">
      <c r="B77" s="223" t="s">
        <v>311</v>
      </c>
      <c r="C77" s="223"/>
      <c r="D77" s="223"/>
      <c r="E77" s="223"/>
      <c r="F77" s="223"/>
      <c r="G77" s="223"/>
    </row>
    <row r="78" spans="1:7" ht="27.75" customHeight="1" x14ac:dyDescent="0.2">
      <c r="B78" s="223" t="s">
        <v>310</v>
      </c>
      <c r="C78" s="223"/>
      <c r="D78" s="223"/>
      <c r="E78" s="223"/>
      <c r="F78" s="223"/>
      <c r="G78" s="223"/>
    </row>
    <row r="79" spans="1:7" ht="27.75" customHeight="1" x14ac:dyDescent="0.2">
      <c r="B79" s="223" t="s">
        <v>309</v>
      </c>
      <c r="C79" s="223"/>
      <c r="D79" s="223"/>
      <c r="E79" s="223"/>
      <c r="F79" s="223"/>
      <c r="G79" s="223"/>
    </row>
    <row r="80" spans="1:7" ht="27.75" customHeight="1" x14ac:dyDescent="0.2">
      <c r="B80" s="223" t="s">
        <v>308</v>
      </c>
      <c r="C80" s="223"/>
      <c r="D80" s="223"/>
      <c r="E80" s="223"/>
      <c r="F80" s="223"/>
      <c r="G80" s="223"/>
    </row>
    <row r="81" spans="2:7" ht="27.75" customHeight="1" x14ac:dyDescent="0.2">
      <c r="B81" s="223" t="s">
        <v>307</v>
      </c>
      <c r="C81" s="223"/>
      <c r="D81" s="223"/>
      <c r="E81" s="223"/>
      <c r="F81" s="223"/>
      <c r="G81" s="223"/>
    </row>
  </sheetData>
  <mergeCells count="14">
    <mergeCell ref="A1:G1"/>
    <mergeCell ref="A2:G2"/>
    <mergeCell ref="A4:G4"/>
    <mergeCell ref="A28:G28"/>
    <mergeCell ref="A61:G61"/>
    <mergeCell ref="B78:G78"/>
    <mergeCell ref="B79:G79"/>
    <mergeCell ref="B80:G80"/>
    <mergeCell ref="B81:G81"/>
    <mergeCell ref="A73:G73"/>
    <mergeCell ref="B74:G74"/>
    <mergeCell ref="B75:G75"/>
    <mergeCell ref="B76:G76"/>
    <mergeCell ref="B77:G77"/>
  </mergeCells>
  <conditionalFormatting sqref="C6:E6">
    <cfRule type="colorScale" priority="1">
      <colorScale>
        <cfvo type="min"/>
        <cfvo type="percentile" val="50"/>
        <cfvo type="max"/>
        <color rgb="FFF8696B"/>
        <color rgb="FFFFEB84"/>
        <color rgb="FF63BE7B"/>
      </colorScale>
    </cfRule>
  </conditionalFormatting>
  <conditionalFormatting sqref="C7:E7">
    <cfRule type="colorScale" priority="2">
      <colorScale>
        <cfvo type="min"/>
        <cfvo type="percentile" val="50"/>
        <cfvo type="max"/>
        <color rgb="FFF8696B"/>
        <color rgb="FFFFEB84"/>
        <color rgb="FF63BE7B"/>
      </colorScale>
    </cfRule>
  </conditionalFormatting>
  <conditionalFormatting sqref="C8:E8">
    <cfRule type="colorScale" priority="3">
      <colorScale>
        <cfvo type="min"/>
        <cfvo type="percentile" val="50"/>
        <cfvo type="max"/>
        <color rgb="FFF8696B"/>
        <color rgb="FFFFEB84"/>
        <color rgb="FF63BE7B"/>
      </colorScale>
    </cfRule>
  </conditionalFormatting>
  <conditionalFormatting sqref="C9:E9">
    <cfRule type="colorScale" priority="4">
      <colorScale>
        <cfvo type="min"/>
        <cfvo type="percentile" val="50"/>
        <cfvo type="max"/>
        <color rgb="FFF8696B"/>
        <color rgb="FFFFEB84"/>
        <color rgb="FF63BE7B"/>
      </colorScale>
    </cfRule>
  </conditionalFormatting>
  <conditionalFormatting sqref="C10:E10">
    <cfRule type="colorScale" priority="5">
      <colorScale>
        <cfvo type="min"/>
        <cfvo type="percentile" val="50"/>
        <cfvo type="max"/>
        <color rgb="FFF8696B"/>
        <color rgb="FFFFEB84"/>
        <color rgb="FF63BE7B"/>
      </colorScale>
    </cfRule>
  </conditionalFormatting>
  <conditionalFormatting sqref="C11:E11">
    <cfRule type="colorScale" priority="6">
      <colorScale>
        <cfvo type="min"/>
        <cfvo type="percentile" val="50"/>
        <cfvo type="max"/>
        <color rgb="FFF8696B"/>
        <color rgb="FFFFEB84"/>
        <color rgb="FF63BE7B"/>
      </colorScale>
    </cfRule>
  </conditionalFormatting>
  <conditionalFormatting sqref="C12:E12">
    <cfRule type="colorScale" priority="7">
      <colorScale>
        <cfvo type="min"/>
        <cfvo type="percentile" val="50"/>
        <cfvo type="max"/>
        <color rgb="FFF8696B"/>
        <color rgb="FFFFEB84"/>
        <color rgb="FF63BE7B"/>
      </colorScale>
    </cfRule>
  </conditionalFormatting>
  <conditionalFormatting sqref="C15:E15">
    <cfRule type="colorScale" priority="8">
      <colorScale>
        <cfvo type="min"/>
        <cfvo type="percentile" val="50"/>
        <cfvo type="max"/>
        <color rgb="FFF8696B"/>
        <color rgb="FFFFEB84"/>
        <color rgb="FF63BE7B"/>
      </colorScale>
    </cfRule>
  </conditionalFormatting>
  <conditionalFormatting sqref="C17:E17">
    <cfRule type="colorScale" priority="9">
      <colorScale>
        <cfvo type="min"/>
        <cfvo type="percentile" val="50"/>
        <cfvo type="max"/>
        <color rgb="FFF8696B"/>
        <color rgb="FFFFEB84"/>
        <color rgb="FF63BE7B"/>
      </colorScale>
    </cfRule>
  </conditionalFormatting>
  <conditionalFormatting sqref="C18:E18">
    <cfRule type="colorScale" priority="10">
      <colorScale>
        <cfvo type="min"/>
        <cfvo type="percentile" val="50"/>
        <cfvo type="max"/>
        <color rgb="FFF8696B"/>
        <color rgb="FFFFEB84"/>
        <color rgb="FF63BE7B"/>
      </colorScale>
    </cfRule>
  </conditionalFormatting>
  <conditionalFormatting sqref="C21:E21">
    <cfRule type="colorScale" priority="11">
      <colorScale>
        <cfvo type="min"/>
        <cfvo type="percentile" val="50"/>
        <cfvo type="max"/>
        <color rgb="FF63BE7B"/>
        <color rgb="FFFFEB84"/>
        <color rgb="FFF8696B"/>
      </colorScale>
    </cfRule>
  </conditionalFormatting>
  <conditionalFormatting sqref="C22:E22">
    <cfRule type="colorScale" priority="12">
      <colorScale>
        <cfvo type="min"/>
        <cfvo type="percentile" val="50"/>
        <cfvo type="max"/>
        <color rgb="FFF8696B"/>
        <color rgb="FFFFEB84"/>
        <color rgb="FF63BE7B"/>
      </colorScale>
    </cfRule>
  </conditionalFormatting>
  <conditionalFormatting sqref="C23:E23">
    <cfRule type="colorScale" priority="13">
      <colorScale>
        <cfvo type="min"/>
        <cfvo type="percentile" val="50"/>
        <cfvo type="max"/>
        <color rgb="FFF8696B"/>
        <color rgb="FFFFEB84"/>
        <color rgb="FF63BE7B"/>
      </colorScale>
    </cfRule>
  </conditionalFormatting>
  <conditionalFormatting sqref="C24:E24">
    <cfRule type="colorScale" priority="14">
      <colorScale>
        <cfvo type="min"/>
        <cfvo type="percentile" val="50"/>
        <cfvo type="max"/>
        <color rgb="FFF8696B"/>
        <color rgb="FFFFEB84"/>
        <color rgb="FF63BE7B"/>
      </colorScale>
    </cfRule>
  </conditionalFormatting>
  <conditionalFormatting sqref="C25:E25">
    <cfRule type="colorScale" priority="15">
      <colorScale>
        <cfvo type="min"/>
        <cfvo type="percentile" val="50"/>
        <cfvo type="max"/>
        <color rgb="FF63BE7B"/>
        <color rgb="FFFFEB84"/>
        <color rgb="FFF8696B"/>
      </colorScale>
    </cfRule>
  </conditionalFormatting>
  <conditionalFormatting sqref="C26:E26">
    <cfRule type="colorScale" priority="16">
      <colorScale>
        <cfvo type="min"/>
        <cfvo type="percentile" val="50"/>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 P&amp;L</vt:lpstr>
      <vt:lpstr>BALANCE SHEET</vt:lpstr>
      <vt:lpstr>CASH FLOW </vt:lpstr>
      <vt:lpstr>RATIOS </vt:lpstr>
      <vt:lpstr>Ratio Dupont </vt:lpstr>
      <vt:lpstr>Company Comparison</vt:lpstr>
      <vt:lpstr>Investor Comparison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Dewank gupta</dc:creator>
  <cp:lastModifiedBy>Eshan Tandon</cp:lastModifiedBy>
  <dcterms:created xsi:type="dcterms:W3CDTF">2026-09-11T18:17:41Z</dcterms:created>
  <dcterms:modified xsi:type="dcterms:W3CDTF">2026-09-20T15:13:50Z</dcterms:modified>
</cp:coreProperties>
</file>